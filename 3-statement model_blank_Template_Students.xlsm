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07_MY TEACHING RESOURCES\MBA-FINANCIAL MODELLING\FME_Topic_02_Financial Statement Forecasting\3- statement model\"/>
    </mc:Choice>
  </mc:AlternateContent>
  <xr:revisionPtr revIDLastSave="0" documentId="13_ncr:1_{4747C4B8-8CC1-4912-93D0-DD3DC006E8F2}" xr6:coauthVersionLast="47" xr6:coauthVersionMax="47" xr10:uidLastSave="{00000000-0000-0000-0000-000000000000}"/>
  <bookViews>
    <workbookView xWindow="-110" yWindow="-110" windowWidth="19420" windowHeight="10300" firstSheet="1" activeTab="6" xr2:uid="{00000000-000D-0000-FFFF-FFFF00000000}"/>
  </bookViews>
  <sheets>
    <sheet name="P&amp;L source" sheetId="18" r:id="rId1"/>
    <sheet name="BS source" sheetId="19" r:id="rId2"/>
    <sheet name="P&amp;L assumptions" sheetId="3" r:id="rId3"/>
    <sheet name="BS assumptions" sheetId="4" r:id="rId4"/>
    <sheet name="P&amp;L" sheetId="6" r:id="rId5"/>
    <sheet name="BS" sheetId="7" r:id="rId6"/>
    <sheet name="Cash Flow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ivLX6YbNqbIgfJxx7nuf6zXJyhRz6VE7ekdqj5FDvAg="/>
    </ext>
  </extLst>
</workbook>
</file>

<file path=xl/calcChain.xml><?xml version="1.0" encoding="utf-8"?>
<calcChain xmlns="http://schemas.openxmlformats.org/spreadsheetml/2006/main">
  <c r="J27" i="19" l="1"/>
  <c r="J28" i="19" s="1"/>
  <c r="I27" i="19"/>
  <c r="I28" i="19" s="1"/>
  <c r="H27" i="19"/>
  <c r="C25" i="19"/>
  <c r="E24" i="19"/>
  <c r="D24" i="19"/>
  <c r="C24" i="19"/>
  <c r="J18" i="19"/>
  <c r="I18" i="19"/>
  <c r="H18" i="19"/>
  <c r="H28" i="19" s="1"/>
  <c r="E15" i="19"/>
  <c r="E25" i="19" s="1"/>
  <c r="D15" i="19"/>
  <c r="D25" i="19" s="1"/>
  <c r="J10" i="19"/>
  <c r="J29" i="19" s="1"/>
  <c r="I10" i="19"/>
  <c r="H10" i="19"/>
  <c r="H29" i="19" s="1"/>
  <c r="E10" i="18"/>
  <c r="E9" i="18"/>
  <c r="D9" i="18"/>
  <c r="D10" i="18" s="1"/>
  <c r="C9" i="18"/>
  <c r="C10" i="18" s="1"/>
  <c r="E6" i="18"/>
  <c r="D6" i="18"/>
  <c r="C6" i="18"/>
  <c r="E16" i="18" l="1"/>
  <c r="E11" i="18"/>
  <c r="C11" i="18"/>
  <c r="C16" i="18"/>
  <c r="D11" i="18"/>
  <c r="D16" i="18"/>
  <c r="I29" i="19"/>
  <c r="C30" i="18" l="1"/>
  <c r="C22" i="18"/>
  <c r="C25" i="18" s="1"/>
  <c r="C26" i="18" s="1"/>
  <c r="D30" i="18"/>
  <c r="D22" i="18"/>
  <c r="D25" i="18" s="1"/>
  <c r="D26" i="18" s="1"/>
  <c r="E22" i="18"/>
  <c r="E25" i="18" s="1"/>
  <c r="E26" i="18" s="1"/>
  <c r="E30" i="18"/>
  <c r="D31" i="18" l="1"/>
  <c r="D28" i="18"/>
  <c r="D29" i="18" s="1"/>
  <c r="C31" i="18"/>
  <c r="C28" i="18"/>
  <c r="C29" i="18" s="1"/>
  <c r="E28" i="18"/>
  <c r="E29" i="18" s="1"/>
  <c r="E31" i="18"/>
</calcChain>
</file>

<file path=xl/sharedStrings.xml><?xml version="1.0" encoding="utf-8"?>
<sst xmlns="http://schemas.openxmlformats.org/spreadsheetml/2006/main" count="271" uniqueCount="158">
  <si>
    <t>P&amp;L assumptions</t>
  </si>
  <si>
    <t>Scenarios</t>
  </si>
  <si>
    <t>Selected Case</t>
  </si>
  <si>
    <t>Case 1</t>
  </si>
  <si>
    <t>Optimistic case</t>
  </si>
  <si>
    <t>Case 2</t>
  </si>
  <si>
    <t>Base Case</t>
  </si>
  <si>
    <t>Case 3</t>
  </si>
  <si>
    <t>Worst Case</t>
  </si>
  <si>
    <t xml:space="preserve"> INR In Millions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</si>
  <si>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</si>
  <si>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</si>
  <si>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</si>
  <si>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</si>
  <si>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</si>
  <si>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</si>
  <si>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</si>
  <si>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</si>
  <si>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FY30
Forecast</t>
  </si>
  <si>
    <t>FY31
Forecast</t>
  </si>
  <si>
    <t>FY32
Forecast</t>
  </si>
  <si>
    <t>FY33
Forecast</t>
  </si>
  <si>
    <t>FY34
Forecast</t>
  </si>
  <si>
    <t>Revenues</t>
  </si>
  <si>
    <t>y-o-y growth %</t>
  </si>
  <si>
    <t>Other revenues</t>
  </si>
  <si>
    <t>Cost of goods sold</t>
  </si>
  <si>
    <t>% of revenues</t>
  </si>
  <si>
    <t>Operating expenses</t>
  </si>
  <si>
    <t>D&amp;A</t>
  </si>
  <si>
    <t>Interest expense</t>
  </si>
  <si>
    <t>Extraordinary income</t>
  </si>
  <si>
    <t>BS assumptions</t>
  </si>
  <si>
    <t>INR In Millions</t>
  </si>
  <si>
    <t xml:space="preserve">Trade receivable </t>
  </si>
  <si>
    <t xml:space="preserve">Days receivable </t>
  </si>
  <si>
    <t xml:space="preserve">Inventory </t>
  </si>
  <si>
    <t xml:space="preserve">Days Inventory </t>
  </si>
  <si>
    <t xml:space="preserve">Trade payables </t>
  </si>
  <si>
    <t xml:space="preserve">Days payable </t>
  </si>
  <si>
    <t xml:space="preserve">PP&amp;E </t>
  </si>
  <si>
    <t xml:space="preserve">as a % of revenue </t>
  </si>
  <si>
    <t xml:space="preserve">Other assets </t>
  </si>
  <si>
    <t>Other liabilities</t>
  </si>
  <si>
    <t>P&amp;L</t>
  </si>
  <si>
    <t>Note</t>
  </si>
  <si>
    <t>Taxes are assumed as NIL</t>
  </si>
  <si>
    <t xml:space="preserve">Total revenue </t>
  </si>
  <si>
    <t xml:space="preserve">Gross margin </t>
  </si>
  <si>
    <t xml:space="preserve">EBITDA </t>
  </si>
  <si>
    <t xml:space="preserve">EBIT </t>
  </si>
  <si>
    <t xml:space="preserve">EBT </t>
  </si>
  <si>
    <t>Tax Rate</t>
  </si>
  <si>
    <t>Taxes</t>
  </si>
  <si>
    <t xml:space="preserve">Net income </t>
  </si>
  <si>
    <t xml:space="preserve"> </t>
  </si>
  <si>
    <t>Balance Sheet</t>
  </si>
  <si>
    <t>Intangible assets</t>
  </si>
  <si>
    <t>Financial assets</t>
  </si>
  <si>
    <t>Cash and equivalents</t>
  </si>
  <si>
    <t>Total Assets</t>
  </si>
  <si>
    <t>Financial liabilities</t>
  </si>
  <si>
    <t>Shareholders' equity</t>
  </si>
  <si>
    <t>Total Liabilities &amp; Equities</t>
  </si>
  <si>
    <t>Check</t>
  </si>
  <si>
    <t>Cash Flow</t>
  </si>
  <si>
    <t>Note:Here we will prepare an unlevered cash flow</t>
  </si>
  <si>
    <t>EBIT</t>
  </si>
  <si>
    <t>Operating taxes</t>
  </si>
  <si>
    <t>Operating tax rate</t>
  </si>
  <si>
    <t>NOPAT</t>
  </si>
  <si>
    <t>Add-back D&amp;A</t>
  </si>
  <si>
    <t>Gross Cash Flow</t>
  </si>
  <si>
    <t>Inventory</t>
  </si>
  <si>
    <t>Trade receivables</t>
  </si>
  <si>
    <t>Trade payables</t>
  </si>
  <si>
    <t>Investments in working capital</t>
  </si>
  <si>
    <t>Investments in other assets/liabilities</t>
  </si>
  <si>
    <t>Capex</t>
  </si>
  <si>
    <t>Investments (other)</t>
  </si>
  <si>
    <t>Extraordinary items</t>
  </si>
  <si>
    <t>UFCF</t>
  </si>
  <si>
    <t>Interest Expenses</t>
  </si>
  <si>
    <t>Delta Financial Liabilities</t>
  </si>
  <si>
    <t>Delta Equity(incl dividends)</t>
  </si>
  <si>
    <t>Net Cash Flow</t>
  </si>
  <si>
    <t>Opening cash</t>
  </si>
  <si>
    <t>Closing cash</t>
  </si>
  <si>
    <t>INR in Millions</t>
  </si>
  <si>
    <t>EBITDA</t>
  </si>
  <si>
    <t>P&amp;L source</t>
  </si>
  <si>
    <t xml:space="preserve"> YEAR 2022</t>
  </si>
  <si>
    <t xml:space="preserve"> YEAR 2023</t>
  </si>
  <si>
    <t xml:space="preserve"> YEAR 2024</t>
  </si>
  <si>
    <t>Revenues from Operations</t>
  </si>
  <si>
    <t>Other Income</t>
  </si>
  <si>
    <t>Total Revenues</t>
  </si>
  <si>
    <t>Cost of Good Sold</t>
  </si>
  <si>
    <t>Delivery and related charges</t>
  </si>
  <si>
    <t>Total COGS</t>
  </si>
  <si>
    <t>Gross Profit</t>
  </si>
  <si>
    <t>Gross Margin</t>
  </si>
  <si>
    <t>Advertising and sales promotion</t>
  </si>
  <si>
    <t>Other Expenses</t>
  </si>
  <si>
    <t>Employee benefits expense</t>
  </si>
  <si>
    <t>Depreciation and amortisation expense</t>
  </si>
  <si>
    <t>Finance costs</t>
  </si>
  <si>
    <t>Share in net loss of an associate</t>
  </si>
  <si>
    <t>Exceptional items</t>
  </si>
  <si>
    <t>Income before tax</t>
  </si>
  <si>
    <t>Income tax expense</t>
  </si>
  <si>
    <t>Net income for the year</t>
  </si>
  <si>
    <t>NI Margin</t>
  </si>
  <si>
    <t>Margin</t>
  </si>
  <si>
    <t>BS source</t>
  </si>
  <si>
    <t>31ST DEC 22</t>
  </si>
  <si>
    <t>31ST DEC 23</t>
  </si>
  <si>
    <t>31ST DEC 24</t>
  </si>
  <si>
    <t>INR IN Millions</t>
  </si>
  <si>
    <t>31ST  DEC 24</t>
  </si>
  <si>
    <t>ASSETS</t>
  </si>
  <si>
    <t>EQUITY AND LIABILITIES</t>
  </si>
  <si>
    <t>Non-current asets</t>
  </si>
  <si>
    <t>Equity</t>
  </si>
  <si>
    <t>Property, plant and equipment</t>
  </si>
  <si>
    <t>Equity share capital</t>
  </si>
  <si>
    <t>Right-of-use assets</t>
  </si>
  <si>
    <t>Additional Paid up Capital (Share Premium)</t>
  </si>
  <si>
    <t>Goodwill</t>
  </si>
  <si>
    <t>Instruments entirely equity in nature</t>
  </si>
  <si>
    <t>Other intangible assets</t>
  </si>
  <si>
    <t>Other equity</t>
  </si>
  <si>
    <t>Investment in associates</t>
  </si>
  <si>
    <t>Total equity</t>
  </si>
  <si>
    <t>Investments</t>
  </si>
  <si>
    <t>Other financial assets</t>
  </si>
  <si>
    <t>Non-current liabilities</t>
  </si>
  <si>
    <t>Income tax assets</t>
  </si>
  <si>
    <t>Borrowings</t>
  </si>
  <si>
    <t>Other assets</t>
  </si>
  <si>
    <t>Lease Liabilties</t>
  </si>
  <si>
    <t>Total non-current assets</t>
  </si>
  <si>
    <t>Other Financial Liabilties</t>
  </si>
  <si>
    <t>Current assets</t>
  </si>
  <si>
    <t>Contracts Liabilities</t>
  </si>
  <si>
    <t>Inventories</t>
  </si>
  <si>
    <t>Provisons</t>
  </si>
  <si>
    <t>Total non-current liabilities</t>
  </si>
  <si>
    <t>Current liabilities</t>
  </si>
  <si>
    <t>Cash and cash equivalents</t>
  </si>
  <si>
    <t>Bank balances other than cash and equivalents</t>
  </si>
  <si>
    <t>Trade Payables</t>
  </si>
  <si>
    <t>Total current assets</t>
  </si>
  <si>
    <t>TOTAL ASSETS</t>
  </si>
  <si>
    <t>Other Liabilties</t>
  </si>
  <si>
    <t>Total current liabilities</t>
  </si>
  <si>
    <t>Total liabilities</t>
  </si>
  <si>
    <t>Total shareholders’ equity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</si>
</sst>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_);_(* \(#,##0.0\);_(* &quot;-&quot;?_);@_)"/>
    <numFmt numFmtId="165" formatCode="_(* #,##0_);_(* \(#,##0\);_(* &quot;-&quot;?_);@_)"/>
    <numFmt numFmtId="166" formatCode="0.0%"/>
    <numFmt numFmtId="167" formatCode="_(* #,##0_);_(* \(#,##0\);_(* &quot;-&quot;??_);_(@_)"/>
    <numFmt numFmtId="168" formatCode="_(* #,##0.0_);_(* \(#,##0.0\);_(* &quot;-&quot;?_);@_l"/>
    <numFmt numFmtId="169" formatCode="_(* #,##0_);_(* \(#,##0\);_(* &quot;-&quot;?_);@_l"/>
    <numFmt numFmtId="170" formatCode="_(* #,##0.00_);_(* \(#,##0.00\);_(* &quot;-&quot;?_);@_)"/>
  </numFmts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16"/>
      <color rgb="FF002060"/>
      <name val="Arial"/>
      <family val="2"/>
    </font>
    <font>
      <b/>
      <sz val="22"/>
      <color rgb="FF002060"/>
      <name val="Arial"/>
      <family val="2"/>
    </font>
    <font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4"/>
      <color theme="0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i/>
      <sz val="8"/>
      <color theme="1"/>
      <name val="Arial"/>
      <family val="2"/>
    </font>
    <font>
      <sz val="9"/>
      <color rgb="FF002060"/>
      <name val="Arial"/>
      <family val="2"/>
    </font>
    <font>
      <b/>
      <sz val="9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164" fontId="2" fillId="2" borderId="1" xfId="0" applyNumberFormat="1" applyFont="1" applyFill="1" applyBorder="1"/>
    <xf numFmtId="164" fontId="4" fillId="2" borderId="1" xfId="0" applyNumberFormat="1" applyFont="1" applyFill="1" applyBorder="1"/>
    <xf numFmtId="164" fontId="5" fillId="2" borderId="1" xfId="0" applyNumberFormat="1" applyFont="1" applyFill="1" applyBorder="1"/>
    <xf numFmtId="164" fontId="6" fillId="2" borderId="1" xfId="0" applyNumberFormat="1" applyFont="1" applyFill="1" applyBorder="1"/>
    <xf numFmtId="164" fontId="7" fillId="2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164" fontId="9" fillId="2" borderId="1" xfId="0" applyNumberFormat="1" applyFont="1" applyFill="1" applyBorder="1"/>
    <xf numFmtId="164" fontId="10" fillId="2" borderId="1" xfId="0" applyNumberFormat="1" applyFont="1" applyFill="1" applyBorder="1"/>
    <xf numFmtId="165" fontId="8" fillId="2" borderId="1" xfId="0" applyNumberFormat="1" applyFont="1" applyFill="1" applyBorder="1"/>
    <xf numFmtId="164" fontId="3" fillId="2" borderId="2" xfId="0" applyNumberFormat="1" applyFont="1" applyFill="1" applyBorder="1"/>
    <xf numFmtId="164" fontId="11" fillId="2" borderId="2" xfId="0" applyNumberFormat="1" applyFont="1" applyFill="1" applyBorder="1" applyAlignment="1">
      <alignment horizontal="right" wrapText="1"/>
    </xf>
    <xf numFmtId="164" fontId="11" fillId="4" borderId="2" xfId="0" applyNumberFormat="1" applyFont="1" applyFill="1" applyBorder="1" applyAlignment="1">
      <alignment horizontal="right" wrapText="1"/>
    </xf>
    <xf numFmtId="165" fontId="10" fillId="2" borderId="1" xfId="0" applyNumberFormat="1" applyFont="1" applyFill="1" applyBorder="1" applyAlignment="1">
      <alignment horizontal="right"/>
    </xf>
    <xf numFmtId="1" fontId="2" fillId="4" borderId="1" xfId="0" applyNumberFormat="1" applyFont="1" applyFill="1" applyBorder="1"/>
    <xf numFmtId="9" fontId="2" fillId="2" borderId="1" xfId="0" applyNumberFormat="1" applyFont="1" applyFill="1" applyBorder="1"/>
    <xf numFmtId="9" fontId="2" fillId="4" borderId="1" xfId="0" applyNumberFormat="1" applyFont="1" applyFill="1" applyBorder="1"/>
    <xf numFmtId="165" fontId="2" fillId="2" borderId="1" xfId="0" applyNumberFormat="1" applyFont="1" applyFill="1" applyBorder="1"/>
    <xf numFmtId="165" fontId="2" fillId="4" borderId="1" xfId="0" applyNumberFormat="1" applyFont="1" applyFill="1" applyBorder="1"/>
    <xf numFmtId="10" fontId="2" fillId="2" borderId="1" xfId="0" applyNumberFormat="1" applyFont="1" applyFill="1" applyBorder="1"/>
    <xf numFmtId="166" fontId="2" fillId="4" borderId="1" xfId="0" applyNumberFormat="1" applyFont="1" applyFill="1" applyBorder="1"/>
    <xf numFmtId="10" fontId="2" fillId="2" borderId="1" xfId="0" applyNumberFormat="1" applyFont="1" applyFill="1" applyBorder="1" applyAlignment="1">
      <alignment horizontal="right"/>
    </xf>
    <xf numFmtId="10" fontId="1" fillId="2" borderId="1" xfId="0" applyNumberFormat="1" applyFont="1" applyFill="1" applyBorder="1"/>
    <xf numFmtId="0" fontId="1" fillId="2" borderId="1" xfId="0" applyFont="1" applyFill="1" applyBorder="1"/>
    <xf numFmtId="164" fontId="3" fillId="2" borderId="1" xfId="0" applyNumberFormat="1" applyFont="1" applyFill="1" applyBorder="1"/>
    <xf numFmtId="164" fontId="11" fillId="2" borderId="2" xfId="0" applyNumberFormat="1" applyFont="1" applyFill="1" applyBorder="1"/>
    <xf numFmtId="164" fontId="12" fillId="2" borderId="1" xfId="0" applyNumberFormat="1" applyFont="1" applyFill="1" applyBorder="1"/>
    <xf numFmtId="164" fontId="12" fillId="4" borderId="1" xfId="0" applyNumberFormat="1" applyFont="1" applyFill="1" applyBorder="1"/>
    <xf numFmtId="164" fontId="2" fillId="4" borderId="1" xfId="0" applyNumberFormat="1" applyFont="1" applyFill="1" applyBorder="1"/>
    <xf numFmtId="166" fontId="12" fillId="2" borderId="1" xfId="0" applyNumberFormat="1" applyFont="1" applyFill="1" applyBorder="1"/>
    <xf numFmtId="166" fontId="12" fillId="4" borderId="1" xfId="0" applyNumberFormat="1" applyFont="1" applyFill="1" applyBorder="1"/>
    <xf numFmtId="164" fontId="11" fillId="2" borderId="2" xfId="0" applyNumberFormat="1" applyFont="1" applyFill="1" applyBorder="1" applyAlignment="1">
      <alignment wrapText="1"/>
    </xf>
    <xf numFmtId="165" fontId="2" fillId="5" borderId="1" xfId="0" applyNumberFormat="1" applyFont="1" applyFill="1" applyBorder="1"/>
    <xf numFmtId="164" fontId="11" fillId="2" borderId="3" xfId="0" applyNumberFormat="1" applyFont="1" applyFill="1" applyBorder="1"/>
    <xf numFmtId="165" fontId="11" fillId="2" borderId="3" xfId="0" applyNumberFormat="1" applyFont="1" applyFill="1" applyBorder="1"/>
    <xf numFmtId="164" fontId="11" fillId="2" borderId="1" xfId="0" applyNumberFormat="1" applyFont="1" applyFill="1" applyBorder="1"/>
    <xf numFmtId="165" fontId="11" fillId="2" borderId="1" xfId="0" applyNumberFormat="1" applyFont="1" applyFill="1" applyBorder="1"/>
    <xf numFmtId="165" fontId="13" fillId="2" borderId="1" xfId="0" applyNumberFormat="1" applyFont="1" applyFill="1" applyBorder="1"/>
    <xf numFmtId="164" fontId="2" fillId="5" borderId="1" xfId="0" applyNumberFormat="1" applyFont="1" applyFill="1" applyBorder="1"/>
    <xf numFmtId="167" fontId="2" fillId="2" borderId="1" xfId="0" applyNumberFormat="1" applyFont="1" applyFill="1" applyBorder="1"/>
    <xf numFmtId="167" fontId="2" fillId="5" borderId="1" xfId="0" applyNumberFormat="1" applyFont="1" applyFill="1" applyBorder="1"/>
    <xf numFmtId="2" fontId="2" fillId="2" borderId="1" xfId="0" applyNumberFormat="1" applyFont="1" applyFill="1" applyBorder="1"/>
    <xf numFmtId="2" fontId="2" fillId="5" borderId="1" xfId="0" applyNumberFormat="1" applyFont="1" applyFill="1" applyBorder="1"/>
    <xf numFmtId="164" fontId="14" fillId="6" borderId="1" xfId="0" applyNumberFormat="1" applyFont="1" applyFill="1" applyBorder="1"/>
    <xf numFmtId="165" fontId="14" fillId="6" borderId="1" xfId="0" applyNumberFormat="1" applyFont="1" applyFill="1" applyBorder="1"/>
    <xf numFmtId="164" fontId="11" fillId="2" borderId="4" xfId="0" applyNumberFormat="1" applyFont="1" applyFill="1" applyBorder="1"/>
    <xf numFmtId="165" fontId="11" fillId="2" borderId="4" xfId="0" applyNumberFormat="1" applyFont="1" applyFill="1" applyBorder="1"/>
    <xf numFmtId="168" fontId="2" fillId="2" borderId="1" xfId="0" applyNumberFormat="1" applyFont="1" applyFill="1" applyBorder="1"/>
    <xf numFmtId="168" fontId="3" fillId="2" borderId="1" xfId="0" applyNumberFormat="1" applyFont="1" applyFill="1" applyBorder="1"/>
    <xf numFmtId="168" fontId="13" fillId="2" borderId="1" xfId="0" applyNumberFormat="1" applyFont="1" applyFill="1" applyBorder="1"/>
    <xf numFmtId="169" fontId="2" fillId="4" borderId="1" xfId="0" applyNumberFormat="1" applyFont="1" applyFill="1" applyBorder="1"/>
    <xf numFmtId="168" fontId="2" fillId="2" borderId="3" xfId="0" applyNumberFormat="1" applyFont="1" applyFill="1" applyBorder="1"/>
    <xf numFmtId="165" fontId="13" fillId="4" borderId="3" xfId="0" applyNumberFormat="1" applyFont="1" applyFill="1" applyBorder="1"/>
    <xf numFmtId="165" fontId="11" fillId="4" borderId="3" xfId="0" applyNumberFormat="1" applyFont="1" applyFill="1" applyBorder="1"/>
    <xf numFmtId="165" fontId="2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1" xfId="0" applyNumberFormat="1" applyFont="1" applyFill="1" applyBorder="1"/>
    <xf numFmtId="168" fontId="11" fillId="2" borderId="1" xfId="0" applyNumberFormat="1" applyFont="1" applyFill="1" applyBorder="1"/>
    <xf numFmtId="168" fontId="2" fillId="4" borderId="1" xfId="0" applyNumberFormat="1" applyFont="1" applyFill="1" applyBorder="1"/>
    <xf numFmtId="165" fontId="14" fillId="4" borderId="1" xfId="0" applyNumberFormat="1" applyFont="1" applyFill="1" applyBorder="1"/>
    <xf numFmtId="165" fontId="10" fillId="4" borderId="1" xfId="0" applyNumberFormat="1" applyFont="1" applyFill="1" applyBorder="1"/>
    <xf numFmtId="164" fontId="10" fillId="2" borderId="5" xfId="0" applyNumberFormat="1" applyFont="1" applyFill="1" applyBorder="1"/>
    <xf numFmtId="165" fontId="10" fillId="2" borderId="5" xfId="0" applyNumberFormat="1" applyFont="1" applyFill="1" applyBorder="1"/>
    <xf numFmtId="165" fontId="10" fillId="2" borderId="5" xfId="0" applyNumberFormat="1" applyFont="1" applyFill="1" applyBorder="1" applyAlignment="1">
      <alignment horizontal="right" wrapText="1"/>
    </xf>
    <xf numFmtId="164" fontId="10" fillId="2" borderId="5" xfId="0" applyNumberFormat="1" applyFont="1" applyFill="1" applyBorder="1" applyAlignment="1">
      <alignment horizontal="right" wrapText="1"/>
    </xf>
    <xf numFmtId="170" fontId="2" fillId="2" borderId="1" xfId="0" applyNumberFormat="1" applyFont="1" applyFill="1" applyBorder="1"/>
    <xf numFmtId="164" fontId="10" fillId="2" borderId="3" xfId="0" applyNumberFormat="1" applyFont="1" applyFill="1" applyBorder="1"/>
    <xf numFmtId="165" fontId="10" fillId="2" borderId="3" xfId="0" applyNumberFormat="1" applyFont="1" applyFill="1" applyBorder="1"/>
    <xf numFmtId="164" fontId="10" fillId="2" borderId="6" xfId="0" applyNumberFormat="1" applyFont="1" applyFill="1" applyBorder="1"/>
    <xf numFmtId="165" fontId="10" fillId="2" borderId="6" xfId="0" applyNumberFormat="1" applyFont="1" applyFill="1" applyBorder="1"/>
    <xf numFmtId="164" fontId="2" fillId="2" borderId="6" xfId="0" applyNumberFormat="1" applyFont="1" applyFill="1" applyBorder="1"/>
    <xf numFmtId="165" fontId="2" fillId="2" borderId="6" xfId="0" applyNumberFormat="1" applyFont="1" applyFill="1" applyBorder="1"/>
    <xf numFmtId="165" fontId="10" fillId="2" borderId="1" xfId="0" applyNumberFormat="1" applyFont="1" applyFill="1" applyBorder="1"/>
    <xf numFmtId="164" fontId="2" fillId="2" borderId="5" xfId="0" applyNumberFormat="1" applyFont="1" applyFill="1" applyBorder="1"/>
  </cellXfs>
  <cellStyles count="1">
    <cellStyle name="Normal" xfId="0" builtinId="0"/>
  </cellStyles>
  <dxfs count="15"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DCF results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DCF results-style 2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CF results-style 3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Sensitivity Analysi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Sensitivity Analysis-style 2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2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Z1000"/>
  <sheetViews>
    <sheetView topLeftCell="A17" workbookViewId="0">
      <selection activeCell="J21" sqref="J21"/>
    </sheetView>
  </sheetViews>
  <sheetFormatPr defaultColWidth="14.453125" defaultRowHeight="15" customHeight="1" x14ac:dyDescent="0.35"/>
  <cols>
    <col min="1" max="1" width="2" customWidth="1"/>
    <col min="2" max="2" width="33" customWidth="1"/>
    <col min="3" max="6" width="10.54296875" customWidth="1"/>
    <col min="7" max="26" width="9.08984375" customWidth="1"/>
  </cols>
  <sheetData>
    <row r="1" spans="1:26" ht="11.25" customHeight="1" x14ac:dyDescent="0.35">
      <c r="A1" s="1"/>
      <c r="B1" s="24" t="s">
        <v>90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61" t="s">
        <v>88</v>
      </c>
      <c r="C3" s="62" t="s">
        <v>91</v>
      </c>
      <c r="D3" s="63" t="s">
        <v>92</v>
      </c>
      <c r="E3" s="63" t="s">
        <v>93</v>
      </c>
      <c r="F3" s="6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94</v>
      </c>
      <c r="C4" s="1">
        <v>57048.97</v>
      </c>
      <c r="D4" s="17">
        <v>82645.960000000006</v>
      </c>
      <c r="E4" s="17">
        <v>112473.9</v>
      </c>
      <c r="F4" s="17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95</v>
      </c>
      <c r="C5" s="1">
        <v>4148.8</v>
      </c>
      <c r="D5" s="17">
        <v>4498.57</v>
      </c>
      <c r="E5" s="17">
        <v>3869.59</v>
      </c>
      <c r="F5" s="17"/>
      <c r="G5" s="1"/>
      <c r="H5" s="1"/>
      <c r="I5" s="1"/>
      <c r="J5" s="65"/>
      <c r="K5" s="65"/>
      <c r="L5" s="65"/>
      <c r="M5" s="6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66" t="s">
        <v>96</v>
      </c>
      <c r="C6" s="66">
        <f t="shared" ref="C6:E6" si="0">SUM(C4:C5)</f>
        <v>61197.770000000004</v>
      </c>
      <c r="D6" s="67">
        <f t="shared" si="0"/>
        <v>87144.53</v>
      </c>
      <c r="E6" s="67">
        <f t="shared" si="0"/>
        <v>116343.48999999999</v>
      </c>
      <c r="F6" s="67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97</v>
      </c>
      <c r="C7" s="1">
        <v>-22680.46</v>
      </c>
      <c r="D7" s="17">
        <v>-33808.730000000003</v>
      </c>
      <c r="E7" s="17">
        <v>-46041.99</v>
      </c>
      <c r="F7" s="17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98</v>
      </c>
      <c r="C8" s="1">
        <v>-20688.13</v>
      </c>
      <c r="D8" s="17">
        <v>-23348.44</v>
      </c>
      <c r="E8" s="17">
        <v>-33510.589999999997</v>
      </c>
      <c r="F8" s="17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99</v>
      </c>
      <c r="C9" s="1">
        <f t="shared" ref="C9:E9" si="1">SUM(C7:C8)</f>
        <v>-43368.59</v>
      </c>
      <c r="D9" s="17">
        <f t="shared" si="1"/>
        <v>-57157.17</v>
      </c>
      <c r="E9" s="17">
        <f t="shared" si="1"/>
        <v>-79552.579999999987</v>
      </c>
      <c r="F9" s="17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100</v>
      </c>
      <c r="C10" s="1">
        <f t="shared" ref="C10:E10" si="2">SUM(C9,C6)</f>
        <v>17829.180000000008</v>
      </c>
      <c r="D10" s="17">
        <f t="shared" si="2"/>
        <v>29987.360000000001</v>
      </c>
      <c r="E10" s="17">
        <f t="shared" si="2"/>
        <v>36790.910000000003</v>
      </c>
      <c r="F10" s="17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101</v>
      </c>
      <c r="C11" s="1">
        <f t="shared" ref="C11:E11" si="3">C10/C6</f>
        <v>0.2913370863023278</v>
      </c>
      <c r="D11" s="17">
        <f t="shared" si="3"/>
        <v>0.34411064010558096</v>
      </c>
      <c r="E11" s="17">
        <f t="shared" si="3"/>
        <v>0.31622663201868884</v>
      </c>
      <c r="F11" s="17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/>
      <c r="C12" s="1"/>
      <c r="D12" s="17"/>
      <c r="E12" s="17"/>
      <c r="F12" s="1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102</v>
      </c>
      <c r="C13" s="1">
        <v>-20050.73</v>
      </c>
      <c r="D13" s="17">
        <v>-25011.599999999999</v>
      </c>
      <c r="E13" s="17">
        <v>-18507.990000000002</v>
      </c>
      <c r="F13" s="1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66" t="s">
        <v>103</v>
      </c>
      <c r="C14" s="66">
        <v>-13055.63</v>
      </c>
      <c r="D14" s="67">
        <v>-16936.240000000002</v>
      </c>
      <c r="E14" s="67">
        <v>-16371.75</v>
      </c>
      <c r="F14" s="6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104</v>
      </c>
      <c r="C15" s="1">
        <v>-17084.900000000001</v>
      </c>
      <c r="D15" s="17">
        <v>-21298.2</v>
      </c>
      <c r="E15" s="17">
        <v>-20121.64</v>
      </c>
      <c r="F15" s="1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89</v>
      </c>
      <c r="C16" s="1">
        <f t="shared" ref="C16:E16" si="4">C10+SUM(C13:C15)</f>
        <v>-32362.079999999994</v>
      </c>
      <c r="D16" s="17">
        <f t="shared" si="4"/>
        <v>-33258.679999999993</v>
      </c>
      <c r="E16" s="17">
        <f t="shared" si="4"/>
        <v>-18210.47</v>
      </c>
      <c r="F16" s="17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/>
      <c r="C17" s="1"/>
      <c r="D17" s="17"/>
      <c r="E17" s="17"/>
      <c r="F17" s="17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66" t="s">
        <v>105</v>
      </c>
      <c r="C18" s="66">
        <v>-1700.3</v>
      </c>
      <c r="D18" s="67">
        <v>-2857.85</v>
      </c>
      <c r="E18" s="67">
        <v>-4205.8500000000004</v>
      </c>
      <c r="F18" s="6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106</v>
      </c>
      <c r="C19" s="1">
        <v>-483.76</v>
      </c>
      <c r="D19" s="17">
        <v>-581.91999999999996</v>
      </c>
      <c r="E19" s="17">
        <v>-714.03</v>
      </c>
      <c r="F19" s="17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107</v>
      </c>
      <c r="C20" s="1">
        <v>-10.16</v>
      </c>
      <c r="D20" s="17">
        <v>-1.03</v>
      </c>
      <c r="E20" s="17">
        <v>-66.14</v>
      </c>
      <c r="F20" s="1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108</v>
      </c>
      <c r="C21" s="1">
        <v>-1732.04</v>
      </c>
      <c r="D21" s="17">
        <v>-92.56</v>
      </c>
      <c r="E21" s="17">
        <v>-305.94</v>
      </c>
      <c r="F21" s="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109</v>
      </c>
      <c r="C22" s="1">
        <f t="shared" ref="C22:E22" si="5">SUM(C16,C18:C21)</f>
        <v>-36288.340000000004</v>
      </c>
      <c r="D22" s="17">
        <f t="shared" si="5"/>
        <v>-36792.039999999986</v>
      </c>
      <c r="E22" s="17">
        <f t="shared" si="5"/>
        <v>-23502.429999999997</v>
      </c>
      <c r="F22" s="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66"/>
      <c r="C23" s="66"/>
      <c r="D23" s="67"/>
      <c r="E23" s="67"/>
      <c r="F23" s="67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 t="s">
        <v>110</v>
      </c>
      <c r="C24" s="1">
        <v>0</v>
      </c>
      <c r="D24" s="17">
        <v>0</v>
      </c>
      <c r="E24" s="17">
        <v>0</v>
      </c>
      <c r="F24" s="17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111</v>
      </c>
      <c r="C25" s="1">
        <f t="shared" ref="C25:E25" si="6">C22+C24</f>
        <v>-36288.340000000004</v>
      </c>
      <c r="D25" s="17">
        <f t="shared" si="6"/>
        <v>-36792.039999999986</v>
      </c>
      <c r="E25" s="17">
        <f t="shared" si="6"/>
        <v>-23502.429999999997</v>
      </c>
      <c r="F25" s="1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 t="s">
        <v>112</v>
      </c>
      <c r="C26" s="1">
        <f t="shared" ref="C26:E26" si="7">C25/C4</f>
        <v>-0.6360910635196394</v>
      </c>
      <c r="D26" s="17">
        <f t="shared" si="7"/>
        <v>-0.44517650953537213</v>
      </c>
      <c r="E26" s="17">
        <f t="shared" si="7"/>
        <v>-0.20895896736931854</v>
      </c>
      <c r="F26" s="1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68"/>
      <c r="C27" s="68"/>
      <c r="D27" s="69"/>
      <c r="E27" s="69"/>
      <c r="F27" s="6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67</v>
      </c>
      <c r="C28" s="1">
        <f t="shared" ref="C28:E28" si="8">C30+C18</f>
        <v>-34062.379999999997</v>
      </c>
      <c r="D28" s="1">
        <f t="shared" si="8"/>
        <v>-36116.529999999992</v>
      </c>
      <c r="E28" s="1">
        <f t="shared" si="8"/>
        <v>-22416.32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113</v>
      </c>
      <c r="C29" s="1">
        <f t="shared" ref="C29:E29" si="9">C28/C4</f>
        <v>-0.5970726552994734</v>
      </c>
      <c r="D29" s="1">
        <f t="shared" si="9"/>
        <v>-0.43700297026013113</v>
      </c>
      <c r="E29" s="1">
        <f t="shared" si="9"/>
        <v>-0.19930241593827547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 t="s">
        <v>89</v>
      </c>
      <c r="C30" s="1">
        <f t="shared" ref="C30:E30" si="10">C16</f>
        <v>-32362.079999999994</v>
      </c>
      <c r="D30" s="1">
        <f t="shared" si="10"/>
        <v>-33258.679999999993</v>
      </c>
      <c r="E30" s="1">
        <f t="shared" si="10"/>
        <v>-18210.47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113</v>
      </c>
      <c r="C31" s="1">
        <f t="shared" ref="C31:E31" si="11">C30/C4</f>
        <v>-0.56726843622242429</v>
      </c>
      <c r="D31" s="1">
        <f t="shared" si="11"/>
        <v>-0.40242354254218826</v>
      </c>
      <c r="E31" s="1">
        <f t="shared" si="11"/>
        <v>-0.16190840719491367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Z1000"/>
  <sheetViews>
    <sheetView topLeftCell="A9" workbookViewId="0"/>
  </sheetViews>
  <sheetFormatPr defaultColWidth="14.453125" defaultRowHeight="15" customHeight="1" x14ac:dyDescent="0.35"/>
  <cols>
    <col min="1" max="1" width="2" customWidth="1"/>
    <col min="2" max="2" width="36.26953125" customWidth="1"/>
    <col min="3" max="4" width="9.54296875" customWidth="1"/>
    <col min="5" max="5" width="10" customWidth="1"/>
    <col min="6" max="6" width="9.08984375" customWidth="1"/>
    <col min="7" max="7" width="33.08984375" customWidth="1"/>
    <col min="8" max="9" width="9.54296875" customWidth="1"/>
    <col min="10" max="10" width="10.81640625" customWidth="1"/>
    <col min="11" max="26" width="9.08984375" customWidth="1"/>
  </cols>
  <sheetData>
    <row r="1" spans="1:26" ht="11.25" customHeight="1" x14ac:dyDescent="0.35">
      <c r="A1" s="1"/>
      <c r="B1" s="24" t="s">
        <v>114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61" t="s">
        <v>33</v>
      </c>
      <c r="C3" s="64" t="s">
        <v>115</v>
      </c>
      <c r="D3" s="64" t="s">
        <v>116</v>
      </c>
      <c r="E3" s="64" t="s">
        <v>117</v>
      </c>
      <c r="F3" s="1"/>
      <c r="G3" s="61" t="s">
        <v>118</v>
      </c>
      <c r="H3" s="64" t="s">
        <v>115</v>
      </c>
      <c r="I3" s="64" t="s">
        <v>116</v>
      </c>
      <c r="J3" s="64" t="s">
        <v>119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120</v>
      </c>
      <c r="C4" s="17"/>
      <c r="D4" s="17"/>
      <c r="E4" s="17"/>
      <c r="F4" s="17"/>
      <c r="G4" s="17" t="s">
        <v>121</v>
      </c>
      <c r="H4" s="17"/>
      <c r="I4" s="17"/>
      <c r="J4" s="1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122</v>
      </c>
      <c r="C5" s="17"/>
      <c r="D5" s="17"/>
      <c r="E5" s="17"/>
      <c r="F5" s="17"/>
      <c r="G5" s="17" t="s">
        <v>123</v>
      </c>
      <c r="H5" s="17"/>
      <c r="I5" s="17"/>
      <c r="J5" s="1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124</v>
      </c>
      <c r="C6" s="1">
        <v>3116</v>
      </c>
      <c r="D6" s="1">
        <v>3137.49</v>
      </c>
      <c r="E6" s="17">
        <v>4527.8500000000004</v>
      </c>
      <c r="F6" s="17"/>
      <c r="G6" s="17" t="s">
        <v>125</v>
      </c>
      <c r="H6" s="17">
        <v>8.56</v>
      </c>
      <c r="I6" s="17">
        <v>26.57</v>
      </c>
      <c r="J6" s="17">
        <v>30.06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 t="s">
        <v>126</v>
      </c>
      <c r="C7" s="1">
        <v>4622</v>
      </c>
      <c r="D7" s="1">
        <v>5458.25</v>
      </c>
      <c r="E7" s="17">
        <v>5877.99</v>
      </c>
      <c r="F7" s="17"/>
      <c r="G7" s="17" t="s">
        <v>127</v>
      </c>
      <c r="H7" s="17">
        <v>0</v>
      </c>
      <c r="I7" s="17">
        <v>0</v>
      </c>
      <c r="J7" s="17"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68" t="s">
        <v>128</v>
      </c>
      <c r="C8" s="70">
        <v>109.15</v>
      </c>
      <c r="D8" s="68">
        <v>3257.74</v>
      </c>
      <c r="E8" s="69">
        <v>6964.67</v>
      </c>
      <c r="F8" s="17"/>
      <c r="G8" s="69" t="s">
        <v>129</v>
      </c>
      <c r="H8" s="71">
        <v>155625.42000000001</v>
      </c>
      <c r="I8" s="69">
        <v>155625.42000000001</v>
      </c>
      <c r="J8" s="69">
        <v>155732.64000000001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130</v>
      </c>
      <c r="C9" s="1">
        <v>163</v>
      </c>
      <c r="D9" s="1">
        <v>3197.38</v>
      </c>
      <c r="E9" s="17">
        <v>3043.11</v>
      </c>
      <c r="F9" s="17"/>
      <c r="G9" s="17" t="s">
        <v>131</v>
      </c>
      <c r="H9" s="1">
        <v>-32964.18</v>
      </c>
      <c r="I9" s="1">
        <v>-65085.87</v>
      </c>
      <c r="J9" s="1">
        <v>-77848.09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132</v>
      </c>
      <c r="C10" s="1">
        <v>0</v>
      </c>
      <c r="D10" s="1">
        <v>669.72</v>
      </c>
      <c r="E10" s="17">
        <v>603.58000000000004</v>
      </c>
      <c r="F10" s="17"/>
      <c r="G10" s="17" t="s">
        <v>133</v>
      </c>
      <c r="H10" s="1">
        <f t="shared" ref="H10:J10" si="0">SUM(H6:H9)</f>
        <v>122669.80000000002</v>
      </c>
      <c r="I10" s="1">
        <f t="shared" si="0"/>
        <v>90566.120000000024</v>
      </c>
      <c r="J10" s="1">
        <f t="shared" si="0"/>
        <v>77914.610000000015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134</v>
      </c>
      <c r="C11" s="1">
        <v>12800.19</v>
      </c>
      <c r="D11" s="1">
        <v>16164.02</v>
      </c>
      <c r="E11" s="17">
        <v>13822.84</v>
      </c>
      <c r="F11" s="17"/>
      <c r="G11" s="17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135</v>
      </c>
      <c r="C12" s="1">
        <v>573.01</v>
      </c>
      <c r="D12" s="1">
        <v>805.45</v>
      </c>
      <c r="E12" s="17">
        <v>948.89</v>
      </c>
      <c r="F12" s="17"/>
      <c r="G12" s="17" t="s">
        <v>136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137</v>
      </c>
      <c r="C13" s="65">
        <v>1091.68</v>
      </c>
      <c r="D13" s="1">
        <v>1574.51</v>
      </c>
      <c r="E13" s="17">
        <v>1603.01</v>
      </c>
      <c r="F13" s="17"/>
      <c r="G13" s="17" t="s">
        <v>138</v>
      </c>
      <c r="H13" s="1">
        <v>0</v>
      </c>
      <c r="I13" s="1">
        <v>0</v>
      </c>
      <c r="J13" s="1">
        <v>959.77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139</v>
      </c>
      <c r="C14" s="1">
        <v>246.36</v>
      </c>
      <c r="D14" s="1">
        <v>314.92</v>
      </c>
      <c r="E14" s="17">
        <v>535.99</v>
      </c>
      <c r="F14" s="17"/>
      <c r="G14" s="17" t="s">
        <v>140</v>
      </c>
      <c r="H14" s="1">
        <v>4086.67</v>
      </c>
      <c r="I14" s="1">
        <v>4445.7700000000004</v>
      </c>
      <c r="J14" s="1">
        <v>4670.59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68" t="s">
        <v>141</v>
      </c>
      <c r="C15" s="70"/>
      <c r="D15" s="68">
        <f t="shared" ref="D15:E15" si="1">SUM(D6:D14)</f>
        <v>34579.479999999996</v>
      </c>
      <c r="E15" s="69">
        <f t="shared" si="1"/>
        <v>37927.930000000008</v>
      </c>
      <c r="F15" s="17"/>
      <c r="G15" s="17" t="s">
        <v>142</v>
      </c>
      <c r="H15" s="1">
        <v>185.9</v>
      </c>
      <c r="I15" s="1">
        <v>374.37</v>
      </c>
      <c r="J15" s="1">
        <v>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143</v>
      </c>
      <c r="C16" s="1"/>
      <c r="D16" s="1"/>
      <c r="E16" s="17"/>
      <c r="F16" s="17"/>
      <c r="G16" s="17" t="s">
        <v>144</v>
      </c>
      <c r="H16" s="1">
        <v>0</v>
      </c>
      <c r="I16" s="1">
        <v>0</v>
      </c>
      <c r="J16" s="1">
        <v>290.12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145</v>
      </c>
      <c r="C17" s="65">
        <v>177.4</v>
      </c>
      <c r="D17" s="65">
        <v>106.41</v>
      </c>
      <c r="E17" s="65">
        <v>486.9</v>
      </c>
      <c r="F17" s="17"/>
      <c r="G17" s="72" t="s">
        <v>146</v>
      </c>
      <c r="H17" s="1">
        <v>277.2</v>
      </c>
      <c r="I17" s="8">
        <v>384.94</v>
      </c>
      <c r="J17" s="8">
        <v>391.1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1" t="s">
        <v>134</v>
      </c>
      <c r="C18" s="1">
        <v>90679.83</v>
      </c>
      <c r="D18" s="1">
        <v>48571.519999999997</v>
      </c>
      <c r="E18" s="17">
        <v>37284.699999999997</v>
      </c>
      <c r="F18" s="17"/>
      <c r="G18" s="17" t="s">
        <v>147</v>
      </c>
      <c r="H18" s="1">
        <f t="shared" ref="H18:J18" si="2">(SUM(H13:H17))</f>
        <v>4549.7699999999995</v>
      </c>
      <c r="I18" s="1">
        <f t="shared" si="2"/>
        <v>5205.08</v>
      </c>
      <c r="J18" s="1">
        <f t="shared" si="2"/>
        <v>6311.5800000000008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8" t="s">
        <v>74</v>
      </c>
      <c r="C19" s="1">
        <v>11119.32</v>
      </c>
      <c r="D19" s="8">
        <v>10623.49</v>
      </c>
      <c r="E19" s="72">
        <v>9638.5</v>
      </c>
      <c r="F19" s="17"/>
      <c r="G19" s="69" t="s">
        <v>148</v>
      </c>
      <c r="H19" s="70"/>
      <c r="I19" s="68"/>
      <c r="J19" s="68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149</v>
      </c>
      <c r="C20" s="1">
        <v>10961.31</v>
      </c>
      <c r="D20" s="1">
        <v>8325.2099999999991</v>
      </c>
      <c r="E20" s="1">
        <v>8870.51</v>
      </c>
      <c r="F20" s="1"/>
      <c r="G20" s="1" t="s">
        <v>138</v>
      </c>
      <c r="H20" s="1">
        <v>0</v>
      </c>
      <c r="I20" s="1">
        <v>0</v>
      </c>
      <c r="J20" s="1">
        <v>1152.0899999999999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150</v>
      </c>
      <c r="C21" s="1">
        <v>77.099999999999994</v>
      </c>
      <c r="D21" s="1">
        <v>313.97000000000003</v>
      </c>
      <c r="E21" s="1">
        <v>38</v>
      </c>
      <c r="F21" s="1"/>
      <c r="G21" s="1" t="s">
        <v>140</v>
      </c>
      <c r="H21" s="1">
        <v>995.43</v>
      </c>
      <c r="I21" s="1">
        <v>1550.23</v>
      </c>
      <c r="J21" s="1">
        <v>1859.45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135</v>
      </c>
      <c r="C22" s="1">
        <v>3198.51</v>
      </c>
      <c r="D22" s="1">
        <v>6518.66</v>
      </c>
      <c r="E22" s="1">
        <v>8268</v>
      </c>
      <c r="F22" s="1"/>
      <c r="G22" s="1" t="s">
        <v>151</v>
      </c>
      <c r="H22" s="1">
        <v>9561.42</v>
      </c>
      <c r="I22" s="1">
        <v>8731.74</v>
      </c>
      <c r="J22" s="1">
        <v>8808.98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 t="s">
        <v>139</v>
      </c>
      <c r="C23" s="1">
        <v>5122.51</v>
      </c>
      <c r="D23" s="1">
        <v>3767.71</v>
      </c>
      <c r="E23" s="1">
        <v>2779.67</v>
      </c>
      <c r="F23" s="1"/>
      <c r="G23" s="1" t="s">
        <v>142</v>
      </c>
      <c r="H23" s="1">
        <v>3826.63</v>
      </c>
      <c r="I23" s="1">
        <v>3916.56</v>
      </c>
      <c r="J23" s="1">
        <v>6394.16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73" t="s">
        <v>152</v>
      </c>
      <c r="C24" s="73">
        <f t="shared" ref="C24:E24" si="3">SUM(C17:C23)</f>
        <v>121335.97999999998</v>
      </c>
      <c r="D24" s="73">
        <f t="shared" si="3"/>
        <v>78226.970000000016</v>
      </c>
      <c r="E24" s="73">
        <f t="shared" si="3"/>
        <v>67366.28</v>
      </c>
      <c r="F24" s="1"/>
      <c r="G24" s="1" t="s">
        <v>144</v>
      </c>
      <c r="H24" s="1">
        <v>226.86</v>
      </c>
      <c r="I24" s="1">
        <v>350.41</v>
      </c>
      <c r="J24" s="1">
        <v>209.35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153</v>
      </c>
      <c r="C25" s="1">
        <f t="shared" ref="C25:E25" si="4">SUM(C24,C15)</f>
        <v>121335.97999999998</v>
      </c>
      <c r="D25" s="1">
        <f t="shared" si="4"/>
        <v>112806.45000000001</v>
      </c>
      <c r="E25" s="1">
        <f t="shared" si="4"/>
        <v>105294.21</v>
      </c>
      <c r="F25" s="1"/>
      <c r="G25" s="1" t="s">
        <v>154</v>
      </c>
      <c r="H25" s="1">
        <v>1622.2</v>
      </c>
      <c r="I25" s="1">
        <v>1666.94</v>
      </c>
      <c r="J25" s="1">
        <v>1856.74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 t="s">
        <v>146</v>
      </c>
      <c r="H26" s="1">
        <v>605.24999999997783</v>
      </c>
      <c r="I26" s="1">
        <v>819.37</v>
      </c>
      <c r="J26" s="1">
        <v>787.25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 t="s">
        <v>155</v>
      </c>
      <c r="H27" s="1">
        <f t="shared" ref="H27:J27" si="5">SUM(H20:H26)</f>
        <v>16837.789999999979</v>
      </c>
      <c r="I27" s="1">
        <f t="shared" si="5"/>
        <v>17035.25</v>
      </c>
      <c r="J27" s="1">
        <f t="shared" si="5"/>
        <v>21068.02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 t="s">
        <v>156</v>
      </c>
      <c r="H28" s="1">
        <f t="shared" ref="H28:J28" si="6">SUM(H27,H18)</f>
        <v>21387.559999999979</v>
      </c>
      <c r="I28" s="1">
        <f t="shared" si="6"/>
        <v>22240.33</v>
      </c>
      <c r="J28" s="1">
        <f t="shared" si="6"/>
        <v>27379.600000000002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 t="s">
        <v>157</v>
      </c>
      <c r="H29" s="1">
        <f t="shared" ref="H29:J29" si="7">H10+H28</f>
        <v>144057.35999999999</v>
      </c>
      <c r="I29" s="1">
        <f t="shared" si="7"/>
        <v>112806.45000000003</v>
      </c>
      <c r="J29" s="1">
        <f t="shared" si="7"/>
        <v>105294.21000000002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topLeftCell="C1" workbookViewId="0">
      <pane ySplit="7" topLeftCell="A8" activePane="bottomLeft" state="frozen"/>
      <selection pane="bottomLeft" activeCell="E42" sqref="E42"/>
    </sheetView>
  </sheetViews>
  <sheetFormatPr defaultColWidth="14.453125" defaultRowHeight="15" customHeight="1" x14ac:dyDescent="0.35"/>
  <cols>
    <col min="1" max="1" width="2" customWidth="1"/>
    <col min="2" max="2" width="21.81640625" customWidth="1"/>
    <col min="3" max="3" width="10.54296875" customWidth="1"/>
    <col min="4" max="5" width="9.08984375" customWidth="1"/>
    <col min="6" max="6" width="13.54296875" customWidth="1"/>
    <col min="7" max="11" width="12.54296875" customWidth="1"/>
    <col min="12" max="15" width="13.54296875" customWidth="1"/>
    <col min="16" max="26" width="9.08984375" customWidth="1"/>
  </cols>
  <sheetData>
    <row r="1" spans="1:26" ht="11.25" customHeight="1" x14ac:dyDescent="0.4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9.5" customHeight="1" x14ac:dyDescent="0.6">
      <c r="A2" s="1"/>
      <c r="B2" s="3"/>
      <c r="C2" s="1"/>
      <c r="D2" s="1"/>
      <c r="E2" s="1"/>
      <c r="F2" s="4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1" customHeight="1" x14ac:dyDescent="0.4">
      <c r="A3" s="1"/>
      <c r="B3" s="5" t="s">
        <v>2</v>
      </c>
      <c r="C3" s="6">
        <v>2</v>
      </c>
      <c r="D3" s="1"/>
      <c r="E3" s="1"/>
      <c r="F3" s="7" t="s">
        <v>3</v>
      </c>
      <c r="G3" s="8" t="s">
        <v>4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4">
      <c r="A4" s="1"/>
      <c r="B4" s="5"/>
      <c r="C4" s="9">
        <v>3</v>
      </c>
      <c r="D4" s="1"/>
      <c r="E4" s="1"/>
      <c r="F4" s="7" t="s">
        <v>5</v>
      </c>
      <c r="G4" s="8" t="s">
        <v>6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4">
      <c r="A5" s="1"/>
      <c r="B5" s="5"/>
      <c r="C5" s="9"/>
      <c r="D5" s="1"/>
      <c r="E5" s="1"/>
      <c r="F5" s="7" t="s">
        <v>7</v>
      </c>
      <c r="G5" s="8" t="s">
        <v>8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0" t="s">
        <v>9</v>
      </c>
      <c r="C7" s="11" t="s">
        <v>10</v>
      </c>
      <c r="D7" s="11" t="s">
        <v>11</v>
      </c>
      <c r="E7" s="11" t="s">
        <v>12</v>
      </c>
      <c r="F7" s="12" t="s">
        <v>13</v>
      </c>
      <c r="G7" s="12" t="s">
        <v>14</v>
      </c>
      <c r="H7" s="12" t="s">
        <v>15</v>
      </c>
      <c r="I7" s="12" t="s">
        <v>16</v>
      </c>
      <c r="J7" s="12" t="s">
        <v>17</v>
      </c>
      <c r="K7" s="12" t="s">
        <v>18</v>
      </c>
      <c r="L7" s="12" t="s">
        <v>19</v>
      </c>
      <c r="M7" s="12" t="s">
        <v>20</v>
      </c>
      <c r="N7" s="12" t="s">
        <v>21</v>
      </c>
      <c r="O7" s="12" t="s">
        <v>22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8" t="s">
        <v>23</v>
      </c>
      <c r="C8" s="13"/>
      <c r="D8" s="13"/>
      <c r="E8" s="13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24</v>
      </c>
      <c r="C9" s="1"/>
      <c r="D9" s="15"/>
      <c r="E9" s="15"/>
      <c r="F9" s="16"/>
      <c r="G9" s="16"/>
      <c r="H9" s="16"/>
      <c r="I9" s="16"/>
      <c r="J9" s="16"/>
      <c r="K9" s="16"/>
      <c r="L9" s="16"/>
      <c r="M9" s="16"/>
      <c r="N9" s="16"/>
      <c r="O9" s="16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3</v>
      </c>
      <c r="C10" s="1"/>
      <c r="D10" s="1"/>
      <c r="E10" s="1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5</v>
      </c>
      <c r="C11" s="1"/>
      <c r="D11" s="1"/>
      <c r="E11" s="1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7</v>
      </c>
      <c r="C12" s="1"/>
      <c r="D12" s="1"/>
      <c r="E12" s="1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 t="s">
        <v>25</v>
      </c>
      <c r="C13" s="17"/>
      <c r="D13" s="17"/>
      <c r="E13" s="17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24</v>
      </c>
      <c r="C14" s="17"/>
      <c r="D14" s="19"/>
      <c r="E14" s="19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 t="s">
        <v>3</v>
      </c>
      <c r="C15" s="1"/>
      <c r="D15" s="1"/>
      <c r="E15" s="1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5</v>
      </c>
      <c r="C16" s="1"/>
      <c r="D16" s="1"/>
      <c r="E16" s="1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7</v>
      </c>
      <c r="C17" s="1"/>
      <c r="D17" s="1"/>
      <c r="E17" s="1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C18" s="17"/>
      <c r="D18" s="17"/>
      <c r="E18" s="17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26</v>
      </c>
      <c r="C19" s="17"/>
      <c r="D19" s="17"/>
      <c r="E19" s="17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27</v>
      </c>
      <c r="C20" s="15"/>
      <c r="D20" s="15"/>
      <c r="E20" s="15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3</v>
      </c>
      <c r="C21" s="1"/>
      <c r="D21" s="1"/>
      <c r="E21" s="1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5</v>
      </c>
      <c r="C22" s="1"/>
      <c r="D22" s="1"/>
      <c r="E22" s="1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" customHeight="1" x14ac:dyDescent="0.35">
      <c r="A23" s="1"/>
      <c r="B23" s="1" t="s">
        <v>7</v>
      </c>
      <c r="C23" s="1"/>
      <c r="D23" s="1"/>
      <c r="E23" s="1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.75" customHeight="1" x14ac:dyDescent="0.35">
      <c r="A24" s="1"/>
      <c r="C24" s="17"/>
      <c r="D24" s="17"/>
      <c r="E24" s="17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" customHeight="1" x14ac:dyDescent="0.35">
      <c r="A25" s="1"/>
      <c r="B25" s="1" t="s">
        <v>28</v>
      </c>
      <c r="C25" s="17"/>
      <c r="D25" s="17"/>
      <c r="E25" s="17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" customHeight="1" x14ac:dyDescent="0.35">
      <c r="A26" s="1"/>
      <c r="B26" s="1" t="s">
        <v>27</v>
      </c>
      <c r="C26" s="19"/>
      <c r="D26" s="19"/>
      <c r="E26" s="19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 t="s">
        <v>3</v>
      </c>
      <c r="C27" s="1"/>
      <c r="D27" s="1"/>
      <c r="E27" s="1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 t="s">
        <v>5</v>
      </c>
      <c r="C28" s="1"/>
      <c r="D28" s="1"/>
      <c r="E28" s="1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 t="s">
        <v>7</v>
      </c>
      <c r="C29" s="1"/>
      <c r="D29" s="1"/>
      <c r="E29" s="1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C30" s="17"/>
      <c r="D30" s="17"/>
      <c r="E30" s="17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 t="s">
        <v>29</v>
      </c>
      <c r="C31" s="17"/>
      <c r="D31" s="17"/>
      <c r="E31" s="17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 t="s">
        <v>27</v>
      </c>
      <c r="C32" s="19"/>
      <c r="D32" s="19"/>
      <c r="E32" s="19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 t="s">
        <v>3</v>
      </c>
      <c r="C33" s="1"/>
      <c r="D33" s="1"/>
      <c r="E33" s="1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 t="s">
        <v>5</v>
      </c>
      <c r="C34" s="1"/>
      <c r="D34" s="1"/>
      <c r="E34" s="1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 t="s">
        <v>7</v>
      </c>
      <c r="C35" s="1"/>
      <c r="D35" s="1"/>
      <c r="E35" s="1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C36" s="17"/>
      <c r="D36" s="17"/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 t="s">
        <v>30</v>
      </c>
      <c r="C37" s="17"/>
      <c r="D37" s="17"/>
      <c r="E37" s="17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 t="s">
        <v>24</v>
      </c>
      <c r="C38" s="21"/>
      <c r="D38" s="21"/>
      <c r="E38" s="21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 t="s">
        <v>3</v>
      </c>
      <c r="C39" s="1"/>
      <c r="D39" s="1"/>
      <c r="E39" s="1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 t="s">
        <v>5</v>
      </c>
      <c r="C40" s="1"/>
      <c r="D40" s="1"/>
      <c r="E40" s="1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 t="s">
        <v>7</v>
      </c>
      <c r="C41" s="1"/>
      <c r="D41" s="1"/>
      <c r="E41" s="1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C42" s="17"/>
      <c r="D42" s="17"/>
      <c r="E42" s="17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 t="s">
        <v>31</v>
      </c>
      <c r="C43" s="17"/>
      <c r="D43" s="17"/>
      <c r="E43" s="17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 t="s">
        <v>24</v>
      </c>
      <c r="C44" s="19"/>
      <c r="D44" s="19"/>
      <c r="E44" s="19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 t="s">
        <v>3</v>
      </c>
      <c r="C45" s="1"/>
      <c r="D45" s="1"/>
      <c r="E45" s="1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 t="s">
        <v>5</v>
      </c>
      <c r="C46" s="1"/>
      <c r="D46" s="1"/>
      <c r="E46" s="1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 t="s">
        <v>7</v>
      </c>
      <c r="C47" s="1"/>
      <c r="D47" s="1"/>
      <c r="E47" s="1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C48" s="17"/>
      <c r="D48" s="17"/>
      <c r="E48" s="17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7"/>
      <c r="D49" s="17"/>
      <c r="E49" s="17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22"/>
      <c r="D50" s="22"/>
      <c r="E50" s="22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23"/>
      <c r="D51" s="23"/>
      <c r="E51" s="23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23"/>
      <c r="D52" s="23"/>
      <c r="E52" s="23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23"/>
      <c r="D53" s="23"/>
      <c r="E53" s="23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>
      <selection activeCell="D10" sqref="D10"/>
    </sheetView>
  </sheetViews>
  <sheetFormatPr defaultColWidth="14.453125" defaultRowHeight="15" customHeight="1" x14ac:dyDescent="0.35"/>
  <cols>
    <col min="1" max="1" width="2" customWidth="1"/>
    <col min="2" max="2" width="23.453125" customWidth="1"/>
    <col min="3" max="3" width="12.453125" customWidth="1"/>
    <col min="4" max="4" width="9.08984375" customWidth="1"/>
    <col min="5" max="5" width="10" customWidth="1"/>
    <col min="6" max="6" width="11" customWidth="1"/>
    <col min="7" max="26" width="9.08984375" customWidth="1"/>
  </cols>
  <sheetData>
    <row r="1" spans="1:26" ht="11.25" customHeight="1" x14ac:dyDescent="0.35">
      <c r="A1" s="1"/>
      <c r="B1" s="24" t="s">
        <v>32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.7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25" t="s">
        <v>33</v>
      </c>
      <c r="C4" s="11" t="s">
        <v>10</v>
      </c>
      <c r="D4" s="11" t="s">
        <v>11</v>
      </c>
      <c r="E4" s="11" t="s">
        <v>12</v>
      </c>
      <c r="F4" s="12" t="s">
        <v>13</v>
      </c>
      <c r="G4" s="12" t="s">
        <v>14</v>
      </c>
      <c r="H4" s="12" t="s">
        <v>15</v>
      </c>
      <c r="I4" s="12" t="s">
        <v>16</v>
      </c>
      <c r="J4" s="12" t="s">
        <v>17</v>
      </c>
      <c r="K4" s="12" t="s">
        <v>18</v>
      </c>
      <c r="L4" s="12" t="s">
        <v>19</v>
      </c>
      <c r="M4" s="12" t="s">
        <v>20</v>
      </c>
      <c r="N4" s="12" t="s">
        <v>21</v>
      </c>
      <c r="O4" s="12" t="s">
        <v>22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34</v>
      </c>
      <c r="C5" s="17"/>
      <c r="D5" s="17"/>
      <c r="E5" s="17"/>
      <c r="F5" s="18"/>
      <c r="G5" s="18"/>
      <c r="H5" s="18"/>
      <c r="I5" s="18"/>
      <c r="J5" s="18"/>
      <c r="K5" s="18"/>
      <c r="L5" s="18"/>
      <c r="M5" s="18"/>
      <c r="N5" s="18"/>
      <c r="O5" s="18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26" t="s">
        <v>35</v>
      </c>
      <c r="C6" s="26"/>
      <c r="D6" s="26"/>
      <c r="E6" s="26"/>
      <c r="F6" s="27"/>
      <c r="G6" s="27"/>
      <c r="H6" s="27"/>
      <c r="I6" s="27"/>
      <c r="J6" s="27"/>
      <c r="K6" s="27"/>
      <c r="L6" s="27"/>
      <c r="M6" s="27"/>
      <c r="N6" s="27"/>
      <c r="O6" s="27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1.25" customHeight="1" x14ac:dyDescent="0.35">
      <c r="A7" s="1"/>
      <c r="B7" s="1"/>
      <c r="C7" s="17"/>
      <c r="D7" s="17"/>
      <c r="E7" s="17"/>
      <c r="F7" s="28"/>
      <c r="G7" s="28"/>
      <c r="H7" s="28"/>
      <c r="I7" s="28"/>
      <c r="J7" s="28"/>
      <c r="K7" s="18"/>
      <c r="L7" s="18"/>
      <c r="M7" s="18"/>
      <c r="N7" s="18"/>
      <c r="O7" s="18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17"/>
      <c r="D8" s="17"/>
      <c r="E8" s="17"/>
      <c r="F8" s="18"/>
      <c r="G8" s="18"/>
      <c r="H8" s="18"/>
      <c r="I8" s="18"/>
      <c r="J8" s="18"/>
      <c r="K8" s="18"/>
      <c r="L8" s="18"/>
      <c r="M8" s="18"/>
      <c r="N8" s="18"/>
      <c r="O8" s="18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26" t="s">
        <v>37</v>
      </c>
      <c r="C9" s="26"/>
      <c r="D9" s="26"/>
      <c r="E9" s="26"/>
      <c r="F9" s="27"/>
      <c r="G9" s="27"/>
      <c r="H9" s="27"/>
      <c r="I9" s="27"/>
      <c r="J9" s="27"/>
      <c r="K9" s="27"/>
      <c r="L9" s="27"/>
      <c r="M9" s="27"/>
      <c r="N9" s="27"/>
      <c r="O9" s="27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/>
      <c r="C10" s="17"/>
      <c r="D10" s="17"/>
      <c r="E10" s="17"/>
      <c r="F10" s="28"/>
      <c r="G10" s="28"/>
      <c r="H10" s="28"/>
      <c r="I10" s="28"/>
      <c r="J10" s="28"/>
      <c r="K10" s="18"/>
      <c r="L10" s="18"/>
      <c r="M10" s="18"/>
      <c r="N10" s="18"/>
      <c r="O10" s="1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38</v>
      </c>
      <c r="C11" s="17"/>
      <c r="D11" s="17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26" t="s">
        <v>39</v>
      </c>
      <c r="C12" s="26"/>
      <c r="D12" s="26"/>
      <c r="E12" s="26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1.25" customHeight="1" x14ac:dyDescent="0.35">
      <c r="A13" s="1"/>
      <c r="B13" s="1"/>
      <c r="C13" s="17"/>
      <c r="D13" s="17"/>
      <c r="E13" s="17"/>
      <c r="F13" s="28"/>
      <c r="G13" s="28"/>
      <c r="H13" s="28"/>
      <c r="I13" s="28"/>
      <c r="J13" s="28"/>
      <c r="K13" s="18"/>
      <c r="L13" s="18"/>
      <c r="M13" s="18"/>
      <c r="N13" s="18"/>
      <c r="O13" s="1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40</v>
      </c>
      <c r="C14" s="17"/>
      <c r="D14" s="17"/>
      <c r="E14" s="17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26" t="s">
        <v>41</v>
      </c>
      <c r="C15" s="29"/>
      <c r="D15" s="29"/>
      <c r="E15" s="29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/>
      <c r="C16" s="17"/>
      <c r="D16" s="17"/>
      <c r="E16" s="17"/>
      <c r="F16" s="30"/>
      <c r="G16" s="30"/>
      <c r="H16" s="30"/>
      <c r="I16" s="30"/>
      <c r="J16" s="30"/>
      <c r="K16" s="18"/>
      <c r="L16" s="18"/>
      <c r="M16" s="18"/>
      <c r="N16" s="18"/>
      <c r="O16" s="18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42</v>
      </c>
      <c r="C17" s="17"/>
      <c r="D17" s="17"/>
      <c r="E17" s="17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1.25" customHeight="1" x14ac:dyDescent="0.35">
      <c r="A18" s="1"/>
      <c r="B18" s="26" t="s">
        <v>41</v>
      </c>
      <c r="C18" s="29"/>
      <c r="D18" s="29"/>
      <c r="E18" s="29"/>
      <c r="F18" s="30"/>
      <c r="G18" s="30"/>
      <c r="H18" s="30"/>
      <c r="I18" s="30"/>
      <c r="J18" s="30"/>
      <c r="K18" s="18"/>
      <c r="L18" s="18"/>
      <c r="M18" s="18"/>
      <c r="N18" s="18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/>
      <c r="C19" s="17"/>
      <c r="D19" s="17"/>
      <c r="E19" s="17"/>
      <c r="F19" s="30"/>
      <c r="G19" s="30"/>
      <c r="H19" s="30"/>
      <c r="I19" s="30"/>
      <c r="J19" s="30"/>
      <c r="K19" s="18"/>
      <c r="L19" s="18"/>
      <c r="M19" s="18"/>
      <c r="N19" s="18"/>
      <c r="O19" s="1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1.25" customHeight="1" x14ac:dyDescent="0.35">
      <c r="A20" s="1"/>
      <c r="B20" s="1" t="s">
        <v>43</v>
      </c>
      <c r="C20" s="17"/>
      <c r="D20" s="17"/>
      <c r="E20" s="17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26" t="s">
        <v>41</v>
      </c>
      <c r="C21" s="29"/>
      <c r="D21" s="29"/>
      <c r="E21" s="29"/>
      <c r="F21" s="30"/>
      <c r="G21" s="30"/>
      <c r="H21" s="30"/>
      <c r="I21" s="30"/>
      <c r="J21" s="30"/>
      <c r="K21" s="18"/>
      <c r="L21" s="18"/>
      <c r="M21" s="18"/>
      <c r="N21" s="18"/>
      <c r="O21" s="18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>
      <selection activeCell="C4" sqref="C4:O24"/>
    </sheetView>
  </sheetViews>
  <sheetFormatPr defaultColWidth="14.453125" defaultRowHeight="15" customHeight="1" x14ac:dyDescent="0.35"/>
  <cols>
    <col min="1" max="1" width="5.54296875" customWidth="1"/>
    <col min="2" max="2" width="18.453125" customWidth="1"/>
    <col min="3" max="3" width="10.54296875" customWidth="1"/>
    <col min="4" max="5" width="9.08984375" customWidth="1"/>
    <col min="6" max="6" width="10.54296875" customWidth="1"/>
    <col min="7" max="11" width="9.08984375" customWidth="1"/>
    <col min="12" max="14" width="9.7265625" customWidth="1"/>
    <col min="15" max="15" width="10.54296875" customWidth="1"/>
    <col min="16" max="16" width="2" customWidth="1"/>
    <col min="17" max="26" width="9.08984375" customWidth="1"/>
  </cols>
  <sheetData>
    <row r="1" spans="1:26" ht="11.25" customHeight="1" x14ac:dyDescent="0.35">
      <c r="A1" s="1"/>
      <c r="B1" s="24" t="s">
        <v>44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25" t="s">
        <v>33</v>
      </c>
      <c r="C3" s="11" t="s">
        <v>10</v>
      </c>
      <c r="D3" s="11" t="s">
        <v>11</v>
      </c>
      <c r="E3" s="11" t="s">
        <v>12</v>
      </c>
      <c r="F3" s="12" t="s">
        <v>13</v>
      </c>
      <c r="G3" s="12" t="s">
        <v>14</v>
      </c>
      <c r="H3" s="12" t="s">
        <v>15</v>
      </c>
      <c r="I3" s="12" t="s">
        <v>16</v>
      </c>
      <c r="J3" s="12" t="s">
        <v>17</v>
      </c>
      <c r="K3" s="12" t="s">
        <v>18</v>
      </c>
      <c r="L3" s="12" t="s">
        <v>19</v>
      </c>
      <c r="M3" s="12" t="s">
        <v>20</v>
      </c>
      <c r="N3" s="12" t="s">
        <v>21</v>
      </c>
      <c r="O3" s="12" t="s">
        <v>22</v>
      </c>
      <c r="P3" s="1"/>
      <c r="Q3" s="31" t="s">
        <v>45</v>
      </c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23</v>
      </c>
      <c r="C4" s="17"/>
      <c r="D4" s="17"/>
      <c r="E4" s="17"/>
      <c r="F4" s="32"/>
      <c r="G4" s="32"/>
      <c r="H4" s="32"/>
      <c r="I4" s="32"/>
      <c r="J4" s="32"/>
      <c r="K4" s="32"/>
      <c r="L4" s="32"/>
      <c r="M4" s="32"/>
      <c r="N4" s="32"/>
      <c r="O4" s="32"/>
      <c r="P4" s="1"/>
      <c r="Q4" s="1" t="s">
        <v>46</v>
      </c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25</v>
      </c>
      <c r="C5" s="17"/>
      <c r="D5" s="17"/>
      <c r="E5" s="17"/>
      <c r="F5" s="32"/>
      <c r="G5" s="32"/>
      <c r="H5" s="32"/>
      <c r="I5" s="32"/>
      <c r="J5" s="32"/>
      <c r="K5" s="32"/>
      <c r="L5" s="32"/>
      <c r="M5" s="32"/>
      <c r="N5" s="32"/>
      <c r="O5" s="32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33" t="s">
        <v>47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.75" customHeight="1" x14ac:dyDescent="0.35">
      <c r="A7" s="1"/>
      <c r="B7" s="35"/>
      <c r="C7" s="36"/>
      <c r="D7" s="36"/>
      <c r="E7" s="36"/>
      <c r="F7" s="32"/>
      <c r="G7" s="32"/>
      <c r="H7" s="32"/>
      <c r="I7" s="32"/>
      <c r="J7" s="32"/>
      <c r="K7" s="32"/>
      <c r="L7" s="32"/>
      <c r="M7" s="32"/>
      <c r="N7" s="32"/>
      <c r="O7" s="32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26</v>
      </c>
      <c r="C8" s="17"/>
      <c r="D8" s="17"/>
      <c r="E8" s="17"/>
      <c r="F8" s="32"/>
      <c r="G8" s="32"/>
      <c r="H8" s="32"/>
      <c r="I8" s="32"/>
      <c r="J8" s="32"/>
      <c r="K8" s="32"/>
      <c r="L8" s="32"/>
      <c r="M8" s="32"/>
      <c r="N8" s="32"/>
      <c r="O8" s="32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33" t="s">
        <v>48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.75" customHeight="1" x14ac:dyDescent="0.35">
      <c r="A10" s="1"/>
      <c r="B10" s="1"/>
      <c r="C10" s="1"/>
      <c r="D10" s="1"/>
      <c r="E10" s="1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1.25" customHeight="1" x14ac:dyDescent="0.35">
      <c r="A11" s="1"/>
      <c r="B11" s="1" t="s">
        <v>28</v>
      </c>
      <c r="C11" s="17"/>
      <c r="D11" s="17"/>
      <c r="E11" s="17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33" t="s">
        <v>49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.75" customHeight="1" x14ac:dyDescent="0.35">
      <c r="A13" s="1"/>
      <c r="B13" s="1"/>
      <c r="C13" s="17"/>
      <c r="D13" s="17"/>
      <c r="E13" s="17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1" t="s">
        <v>29</v>
      </c>
      <c r="C14" s="17"/>
      <c r="D14" s="17"/>
      <c r="E14" s="17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33" t="s">
        <v>50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.75" customHeight="1" x14ac:dyDescent="0.35">
      <c r="A16" s="1"/>
      <c r="B16" s="35"/>
      <c r="C16" s="37"/>
      <c r="D16" s="37"/>
      <c r="E16" s="37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" customHeight="1" x14ac:dyDescent="0.35">
      <c r="A17" s="1"/>
      <c r="B17" s="1" t="s">
        <v>30</v>
      </c>
      <c r="C17" s="17"/>
      <c r="D17" s="17"/>
      <c r="E17" s="17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" customHeight="1" x14ac:dyDescent="0.35">
      <c r="A18" s="1"/>
      <c r="B18" s="1" t="s">
        <v>31</v>
      </c>
      <c r="C18" s="17"/>
      <c r="D18" s="17"/>
      <c r="E18" s="17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" customHeight="1" x14ac:dyDescent="0.35">
      <c r="A19" s="1"/>
      <c r="B19" s="33" t="s">
        <v>51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.75" customHeight="1" x14ac:dyDescent="0.35">
      <c r="A20" s="1"/>
      <c r="B20" s="17"/>
      <c r="C20" s="17"/>
      <c r="D20" s="17"/>
      <c r="E20" s="17"/>
      <c r="F20" s="32"/>
      <c r="G20" s="32"/>
      <c r="H20" s="32"/>
      <c r="I20" s="32"/>
      <c r="J20" s="32"/>
      <c r="K20" s="32"/>
      <c r="L20" s="32"/>
      <c r="M20" s="32"/>
      <c r="N20" s="32"/>
      <c r="O20" s="3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52</v>
      </c>
      <c r="C21" s="39"/>
      <c r="D21" s="39"/>
      <c r="E21" s="39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1.25" customHeight="1" x14ac:dyDescent="0.35">
      <c r="A22" s="1"/>
      <c r="B22" s="1" t="s">
        <v>53</v>
      </c>
      <c r="C22" s="41"/>
      <c r="D22" s="41"/>
      <c r="E22" s="41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.75" customHeight="1" x14ac:dyDescent="0.35">
      <c r="A23" s="1"/>
      <c r="B23" s="1"/>
      <c r="C23" s="17"/>
      <c r="D23" s="17"/>
      <c r="E23" s="17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43" t="s">
        <v>54</v>
      </c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/>
      <c r="C25" s="17"/>
      <c r="D25" s="17"/>
      <c r="E25" s="17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7"/>
      <c r="D26" s="17"/>
      <c r="E26" s="17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7"/>
      <c r="D27" s="17"/>
      <c r="E27" s="17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7"/>
      <c r="D28" s="17"/>
      <c r="E28" s="17"/>
      <c r="F28" s="1"/>
      <c r="G28" s="1"/>
      <c r="H28" s="1"/>
      <c r="I28" s="1"/>
      <c r="J28" s="1" t="s">
        <v>55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>
        <v>1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topLeftCell="C1" workbookViewId="0">
      <selection activeCell="C4" sqref="C4:P25"/>
    </sheetView>
  </sheetViews>
  <sheetFormatPr defaultColWidth="14.453125" defaultRowHeight="15" customHeight="1" x14ac:dyDescent="0.35"/>
  <cols>
    <col min="1" max="1" width="4.08984375" customWidth="1"/>
    <col min="2" max="2" width="22.54296875" customWidth="1"/>
    <col min="3" max="3" width="9.08984375" customWidth="1"/>
    <col min="4" max="4" width="9.54296875" customWidth="1"/>
    <col min="5" max="6" width="8.26953125" customWidth="1"/>
    <col min="7" max="8" width="8.81640625" customWidth="1"/>
    <col min="9" max="9" width="10.08984375" customWidth="1"/>
    <col min="10" max="10" width="8.81640625" customWidth="1"/>
    <col min="11" max="11" width="9.7265625" customWidth="1"/>
    <col min="12" max="15" width="11.08984375" customWidth="1"/>
    <col min="16" max="16" width="19" customWidth="1"/>
    <col min="17" max="26" width="9.08984375" customWidth="1"/>
  </cols>
  <sheetData>
    <row r="1" spans="1:26" ht="11.25" customHeight="1" x14ac:dyDescent="0.35">
      <c r="A1" s="1"/>
      <c r="B1" s="24" t="s">
        <v>56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1.25" customHeigh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1.25" customHeight="1" x14ac:dyDescent="0.35">
      <c r="A3" s="1"/>
      <c r="B3" s="25" t="s">
        <v>33</v>
      </c>
      <c r="C3" s="11" t="s">
        <v>10</v>
      </c>
      <c r="D3" s="11" t="s">
        <v>11</v>
      </c>
      <c r="E3" s="11" t="s">
        <v>12</v>
      </c>
      <c r="F3" s="12" t="s">
        <v>13</v>
      </c>
      <c r="G3" s="12" t="s">
        <v>14</v>
      </c>
      <c r="H3" s="12" t="s">
        <v>15</v>
      </c>
      <c r="I3" s="12" t="s">
        <v>16</v>
      </c>
      <c r="J3" s="12" t="s">
        <v>17</v>
      </c>
      <c r="K3" s="12" t="s">
        <v>18</v>
      </c>
      <c r="L3" s="12" t="s">
        <v>19</v>
      </c>
      <c r="M3" s="12" t="s">
        <v>20</v>
      </c>
      <c r="N3" s="12" t="s">
        <v>21</v>
      </c>
      <c r="O3" s="12" t="s">
        <v>22</v>
      </c>
      <c r="P3" s="31" t="s">
        <v>45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1.25" customHeight="1" x14ac:dyDescent="0.35">
      <c r="A4" s="1"/>
      <c r="B4" s="1" t="s">
        <v>57</v>
      </c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1.25" customHeight="1" x14ac:dyDescent="0.35">
      <c r="A5" s="1"/>
      <c r="B5" s="1" t="s">
        <v>40</v>
      </c>
      <c r="C5" s="17"/>
      <c r="D5" s="17"/>
      <c r="E5" s="17"/>
      <c r="F5" s="18"/>
      <c r="G5" s="18"/>
      <c r="H5" s="18"/>
      <c r="I5" s="18"/>
      <c r="J5" s="18"/>
      <c r="K5" s="18"/>
      <c r="L5" s="18"/>
      <c r="M5" s="18"/>
      <c r="N5" s="18"/>
      <c r="O5" s="18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1.25" customHeight="1" x14ac:dyDescent="0.35">
      <c r="A6" s="1"/>
      <c r="B6" s="1" t="s">
        <v>58</v>
      </c>
      <c r="C6" s="17"/>
      <c r="D6" s="17"/>
      <c r="E6" s="17"/>
      <c r="F6" s="18"/>
      <c r="G6" s="18"/>
      <c r="H6" s="18"/>
      <c r="I6" s="18"/>
      <c r="J6" s="18"/>
      <c r="K6" s="18"/>
      <c r="L6" s="18"/>
      <c r="M6" s="18"/>
      <c r="N6" s="18"/>
      <c r="O6" s="18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.75" customHeight="1" x14ac:dyDescent="0.35">
      <c r="A7" s="1"/>
      <c r="B7" s="1"/>
      <c r="C7" s="17"/>
      <c r="D7" s="17"/>
      <c r="E7" s="17"/>
      <c r="F7" s="18"/>
      <c r="G7" s="18"/>
      <c r="H7" s="18"/>
      <c r="I7" s="18"/>
      <c r="J7" s="18"/>
      <c r="K7" s="18"/>
      <c r="L7" s="18"/>
      <c r="M7" s="18"/>
      <c r="N7" s="18"/>
      <c r="O7" s="18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1.25" customHeight="1" x14ac:dyDescent="0.35">
      <c r="A8" s="1"/>
      <c r="B8" s="1" t="s">
        <v>36</v>
      </c>
      <c r="C8" s="17"/>
      <c r="D8" s="17"/>
      <c r="E8" s="17"/>
      <c r="F8" s="18"/>
      <c r="G8" s="18"/>
      <c r="H8" s="18"/>
      <c r="I8" s="18"/>
      <c r="J8" s="18"/>
      <c r="K8" s="18"/>
      <c r="L8" s="18"/>
      <c r="M8" s="18"/>
      <c r="N8" s="18"/>
      <c r="O8" s="18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1.25" customHeight="1" x14ac:dyDescent="0.35">
      <c r="A9" s="1"/>
      <c r="B9" s="1" t="s">
        <v>34</v>
      </c>
      <c r="C9" s="17"/>
      <c r="D9" s="17"/>
      <c r="E9" s="17"/>
      <c r="F9" s="18"/>
      <c r="G9" s="18"/>
      <c r="H9" s="18"/>
      <c r="I9" s="18"/>
      <c r="J9" s="18"/>
      <c r="K9" s="18"/>
      <c r="L9" s="18"/>
      <c r="M9" s="18"/>
      <c r="N9" s="18"/>
      <c r="O9" s="18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1.25" customHeight="1" x14ac:dyDescent="0.35">
      <c r="A10" s="1"/>
      <c r="B10" s="1" t="s">
        <v>42</v>
      </c>
      <c r="C10" s="17"/>
      <c r="D10" s="17"/>
      <c r="E10" s="17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.75" customHeight="1" x14ac:dyDescent="0.35">
      <c r="A11" s="1"/>
      <c r="B11" s="1"/>
      <c r="C11" s="17"/>
      <c r="D11" s="17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1.25" customHeight="1" x14ac:dyDescent="0.35">
      <c r="A12" s="1"/>
      <c r="B12" s="1" t="s">
        <v>59</v>
      </c>
      <c r="C12" s="17"/>
      <c r="D12" s="17"/>
      <c r="E12" s="17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.75" customHeight="1" x14ac:dyDescent="0.35">
      <c r="A13" s="1"/>
      <c r="B13" s="1"/>
      <c r="C13" s="1"/>
      <c r="D13" s="1"/>
      <c r="E13" s="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1.25" customHeight="1" x14ac:dyDescent="0.35">
      <c r="A14" s="1"/>
      <c r="B14" s="45" t="s">
        <v>60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1.25" customHeight="1" x14ac:dyDescent="0.35">
      <c r="A15" s="1"/>
      <c r="B15" s="1"/>
      <c r="C15" s="17"/>
      <c r="D15" s="17"/>
      <c r="E15" s="17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1.25" customHeight="1" x14ac:dyDescent="0.35">
      <c r="A16" s="1"/>
      <c r="B16" s="1" t="s">
        <v>38</v>
      </c>
      <c r="C16" s="17"/>
      <c r="D16" s="17"/>
      <c r="E16" s="17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1.25" customHeight="1" x14ac:dyDescent="0.35">
      <c r="A17" s="1"/>
      <c r="B17" s="1" t="s">
        <v>43</v>
      </c>
      <c r="C17" s="17"/>
      <c r="D17" s="17"/>
      <c r="E17" s="17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.75" customHeight="1" x14ac:dyDescent="0.35">
      <c r="A18" s="1"/>
      <c r="B18" s="1"/>
      <c r="C18" s="17"/>
      <c r="D18" s="17"/>
      <c r="E18" s="17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1.25" customHeight="1" x14ac:dyDescent="0.35">
      <c r="A19" s="1"/>
      <c r="B19" s="1" t="s">
        <v>61</v>
      </c>
      <c r="C19" s="17"/>
      <c r="D19" s="17"/>
      <c r="E19" s="17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.75" customHeight="1" x14ac:dyDescent="0.35">
      <c r="A20" s="1"/>
      <c r="B20" s="1"/>
      <c r="C20" s="17"/>
      <c r="D20" s="17"/>
      <c r="E20" s="17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1.25" customHeight="1" x14ac:dyDescent="0.35">
      <c r="A21" s="1"/>
      <c r="B21" s="1" t="s">
        <v>62</v>
      </c>
      <c r="C21" s="17"/>
      <c r="D21" s="17"/>
      <c r="E21" s="17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.75" customHeight="1" x14ac:dyDescent="0.35">
      <c r="A22" s="1"/>
      <c r="B22" s="1"/>
      <c r="C22" s="17"/>
      <c r="D22" s="17"/>
      <c r="E22" s="17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1.25" customHeight="1" x14ac:dyDescent="0.35">
      <c r="A23" s="1"/>
      <c r="B23" s="45" t="s">
        <v>63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1.25" customHeight="1" x14ac:dyDescent="0.35">
      <c r="A24" s="1"/>
      <c r="B24" s="1"/>
      <c r="C24" s="1"/>
      <c r="D24" s="1"/>
      <c r="E24" s="1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1.25" customHeight="1" x14ac:dyDescent="0.35">
      <c r="A25" s="1"/>
      <c r="B25" s="1" t="s">
        <v>64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 x14ac:dyDescent="0.35">
      <c r="A26" s="1"/>
      <c r="B26" s="1"/>
      <c r="C26" s="1"/>
      <c r="D26" s="1"/>
      <c r="E26" s="1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1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1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1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1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1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1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1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1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1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1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1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1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1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1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1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1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1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1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1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1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1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1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1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1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1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1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1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1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1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1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1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1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1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1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1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1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1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1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1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1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1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1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1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1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1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1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1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1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1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1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1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1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1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1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1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1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1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1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1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1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1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1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1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1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1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1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1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1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1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1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1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1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1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1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1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1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1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1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1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1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1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1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1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1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1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1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1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1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1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1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1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1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1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1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1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1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1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1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1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1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1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1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1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1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1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1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1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1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1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1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1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1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1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1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1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1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1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1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1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1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1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1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1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1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1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1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1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1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1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1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1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1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1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1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1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1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1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1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1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1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1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1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1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1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1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1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1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1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1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1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1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1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1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1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1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1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1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1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1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1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1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1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1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1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1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1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1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1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1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1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1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1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1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1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1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1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1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1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1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1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1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1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1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1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1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1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1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1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1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1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1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1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1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1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1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1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1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1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1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1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1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1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1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1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1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1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1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1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1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1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1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1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1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1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1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1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1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1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1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1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1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1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1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1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1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1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1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1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1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1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1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1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1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1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1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1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1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1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1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1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1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1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1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1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1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1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1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1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1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1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1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1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1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1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1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1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1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1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1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1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1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1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1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1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1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1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1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1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1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1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1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1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1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1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1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1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1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1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1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1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1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1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1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1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1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1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1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1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1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1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1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1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1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1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1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1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1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1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1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1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1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1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1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1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1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1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1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1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1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1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1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1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1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1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1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1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1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1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1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1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1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1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1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1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1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1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1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1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1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1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1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1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1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1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1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1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1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1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1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1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1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1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1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1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1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1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1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1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1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1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1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1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1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1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1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1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1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1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1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1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1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1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1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1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1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1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1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1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1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1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1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1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1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1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1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1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1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1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1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1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1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1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1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1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1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1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1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1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1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1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1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1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1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1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1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1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1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1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1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1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1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1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1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1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1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1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1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1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1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1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1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1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1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1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1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1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1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1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1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1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1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1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1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1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1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1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1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1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1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1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1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1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1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1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1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1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1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1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1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1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1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1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1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1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1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1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1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1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1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1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1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1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1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1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1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1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1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1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1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1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1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1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1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1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1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1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1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1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1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1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1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1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1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1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1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1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1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1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1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1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1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1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1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1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1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1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1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1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1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1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1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1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1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1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1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1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1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1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1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1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1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1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1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1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1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1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1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1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1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1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1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1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1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1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1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1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1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1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1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1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1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1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1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1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1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1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1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1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1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1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1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1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1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1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1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1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1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1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1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1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1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1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1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1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1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1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1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1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1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1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1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1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1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1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1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1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1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1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1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1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1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1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1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1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1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1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1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1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1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1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1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1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1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1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1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1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1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1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1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1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1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1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1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1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1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1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1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1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1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1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1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1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1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1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1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1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1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1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1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1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1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1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1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1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1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1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1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1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1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1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1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1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1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1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1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1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1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1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1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1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1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1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1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1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1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1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1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1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1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1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1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1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1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1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1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1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1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1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1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1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1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1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1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1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1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1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1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1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1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1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1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1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1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1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1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1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1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1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1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1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1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1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1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1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1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1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1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1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1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1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1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1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1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1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1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1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1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1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1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1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1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1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1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1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1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1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1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1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1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1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1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1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1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1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1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1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1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1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1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1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1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1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1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1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1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1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1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1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1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1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1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1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1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1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1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1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1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1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1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1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1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1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1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1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1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1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1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1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1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1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1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1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1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1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1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1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1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1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1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1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1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1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1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1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1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1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1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1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1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1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1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1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1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1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1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1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1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1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1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1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1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1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1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1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1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1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1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1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1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1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1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1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1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1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1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1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1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1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1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1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1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1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1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1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1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1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1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1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1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1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1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1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1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1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1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1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1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1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1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1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1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1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1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1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1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1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1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1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1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1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1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1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1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1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1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1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1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1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1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1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1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1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1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1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1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1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1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1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1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1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1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1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1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1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1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1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1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1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1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1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1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1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1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1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1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1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1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1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1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1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1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1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1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1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1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1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1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1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1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1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1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1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1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1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1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1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1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1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1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1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1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1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1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1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1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1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1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1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1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1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1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1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1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1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1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1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1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1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1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1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1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1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1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1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1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1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1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1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1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1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1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1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1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1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1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1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1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1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1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1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1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1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1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1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1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1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1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1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1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1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1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1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1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1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1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1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1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1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1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1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1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1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1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1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1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1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1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1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1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1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1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1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1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1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1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1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1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1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1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1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1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1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1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1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1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1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1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1000"/>
  <sheetViews>
    <sheetView tabSelected="1" workbookViewId="0">
      <selection activeCell="G20" sqref="G20"/>
    </sheetView>
  </sheetViews>
  <sheetFormatPr defaultColWidth="14.453125" defaultRowHeight="15" customHeight="1" x14ac:dyDescent="0.35"/>
  <cols>
    <col min="1" max="1" width="2" customWidth="1"/>
    <col min="2" max="2" width="37.81640625" customWidth="1"/>
    <col min="3" max="4" width="9.08984375" customWidth="1"/>
    <col min="5" max="5" width="1.54296875" customWidth="1"/>
    <col min="6" max="6" width="9.08984375" customWidth="1"/>
    <col min="7" max="10" width="10.08984375" customWidth="1"/>
    <col min="11" max="15" width="11.08984375" customWidth="1"/>
    <col min="16" max="16" width="19.54296875" customWidth="1"/>
    <col min="17" max="26" width="9.08984375" customWidth="1"/>
  </cols>
  <sheetData>
    <row r="1" spans="1:26" ht="11.25" customHeight="1" x14ac:dyDescent="0.35">
      <c r="A1" s="47"/>
      <c r="B1" s="48" t="s">
        <v>65</v>
      </c>
      <c r="C1" s="48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1.25" customHeight="1" x14ac:dyDescent="0.35">
      <c r="A2" s="47"/>
      <c r="B2" s="49" t="s">
        <v>66</v>
      </c>
      <c r="C2" s="48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1.2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1.25" customHeight="1" x14ac:dyDescent="0.35">
      <c r="A4" s="47"/>
      <c r="B4" s="25" t="s">
        <v>33</v>
      </c>
      <c r="C4" s="11" t="s">
        <v>11</v>
      </c>
      <c r="D4" s="11" t="s">
        <v>12</v>
      </c>
      <c r="E4" s="11"/>
      <c r="F4" s="12" t="s">
        <v>13</v>
      </c>
      <c r="G4" s="12" t="s">
        <v>14</v>
      </c>
      <c r="H4" s="12" t="s">
        <v>15</v>
      </c>
      <c r="I4" s="12" t="s">
        <v>16</v>
      </c>
      <c r="J4" s="12" t="s">
        <v>17</v>
      </c>
      <c r="K4" s="12" t="s">
        <v>18</v>
      </c>
      <c r="L4" s="12" t="s">
        <v>19</v>
      </c>
      <c r="M4" s="12" t="s">
        <v>20</v>
      </c>
      <c r="N4" s="12" t="s">
        <v>21</v>
      </c>
      <c r="O4" s="12" t="s">
        <v>22</v>
      </c>
      <c r="P4" s="31" t="s">
        <v>45</v>
      </c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1.25" customHeight="1" x14ac:dyDescent="0.35">
      <c r="A5" s="47"/>
      <c r="B5" s="47" t="s">
        <v>67</v>
      </c>
      <c r="C5" s="47"/>
      <c r="D5" s="47"/>
      <c r="E5" s="47"/>
      <c r="F5" s="50"/>
      <c r="G5" s="50"/>
      <c r="H5" s="50"/>
      <c r="I5" s="50"/>
      <c r="J5" s="50"/>
      <c r="K5" s="50"/>
      <c r="L5" s="50"/>
      <c r="M5" s="50"/>
      <c r="N5" s="50"/>
      <c r="O5" s="50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1.25" customHeight="1" x14ac:dyDescent="0.35">
      <c r="A6" s="47"/>
      <c r="B6" s="47" t="s">
        <v>68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1.25" customHeight="1" x14ac:dyDescent="0.35">
      <c r="A7" s="47"/>
      <c r="B7" s="47" t="s">
        <v>69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1.25" customHeight="1" x14ac:dyDescent="0.35">
      <c r="A8" s="47"/>
      <c r="B8" s="33" t="s">
        <v>70</v>
      </c>
      <c r="C8" s="51"/>
      <c r="D8" s="51"/>
      <c r="E8" s="51"/>
      <c r="F8" s="52"/>
      <c r="G8" s="53"/>
      <c r="H8" s="53"/>
      <c r="I8" s="53"/>
      <c r="J8" s="53"/>
      <c r="K8" s="53"/>
      <c r="L8" s="53"/>
      <c r="M8" s="53"/>
      <c r="N8" s="53"/>
      <c r="O8" s="53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1.25" customHeight="1" x14ac:dyDescent="0.35">
      <c r="A9" s="47"/>
      <c r="B9" s="35"/>
      <c r="C9" s="47"/>
      <c r="D9" s="47"/>
      <c r="E9" s="47"/>
      <c r="F9" s="18"/>
      <c r="G9" s="18"/>
      <c r="H9" s="18"/>
      <c r="I9" s="18"/>
      <c r="J9" s="18"/>
      <c r="K9" s="18"/>
      <c r="L9" s="18"/>
      <c r="M9" s="18"/>
      <c r="N9" s="18"/>
      <c r="O9" s="18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1.25" customHeight="1" x14ac:dyDescent="0.35">
      <c r="A10" s="47"/>
      <c r="B10" s="47" t="s">
        <v>71</v>
      </c>
      <c r="C10" s="47"/>
      <c r="D10" s="47"/>
      <c r="E10" s="47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1.25" customHeight="1" x14ac:dyDescent="0.35">
      <c r="A11" s="47"/>
      <c r="B11" s="33" t="s">
        <v>72</v>
      </c>
      <c r="C11" s="51"/>
      <c r="D11" s="51"/>
      <c r="E11" s="51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1.25" customHeight="1" x14ac:dyDescent="0.35">
      <c r="A12" s="47"/>
      <c r="C12" s="47"/>
      <c r="D12" s="47"/>
      <c r="E12" s="47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1.25" customHeight="1" x14ac:dyDescent="0.35">
      <c r="A13" s="47"/>
      <c r="B13" s="47" t="s">
        <v>73</v>
      </c>
      <c r="C13" s="47"/>
      <c r="D13" s="47"/>
      <c r="E13" s="47"/>
      <c r="F13" s="56"/>
      <c r="G13" s="55"/>
      <c r="H13" s="55"/>
      <c r="I13" s="55"/>
      <c r="J13" s="55"/>
      <c r="K13" s="55"/>
      <c r="L13" s="55"/>
      <c r="M13" s="55"/>
      <c r="N13" s="55"/>
      <c r="O13" s="55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1.25" customHeight="1" x14ac:dyDescent="0.35">
      <c r="A14" s="47"/>
      <c r="B14" s="47" t="s">
        <v>74</v>
      </c>
      <c r="C14" s="47"/>
      <c r="D14" s="47"/>
      <c r="E14" s="47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1.25" customHeight="1" x14ac:dyDescent="0.35">
      <c r="A15" s="47"/>
      <c r="B15" s="47" t="s">
        <v>75</v>
      </c>
      <c r="C15" s="47"/>
      <c r="D15" s="47"/>
      <c r="E15" s="47"/>
      <c r="F15" s="56"/>
      <c r="G15" s="55"/>
      <c r="H15" s="55"/>
      <c r="I15" s="55"/>
      <c r="J15" s="55"/>
      <c r="K15" s="55"/>
      <c r="L15" s="55"/>
      <c r="M15" s="55"/>
      <c r="N15" s="55"/>
      <c r="O15" s="55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1.25" customHeight="1" x14ac:dyDescent="0.35">
      <c r="A16" s="47"/>
      <c r="B16" s="33" t="s">
        <v>76</v>
      </c>
      <c r="C16" s="51"/>
      <c r="D16" s="51"/>
      <c r="E16" s="51"/>
      <c r="F16" s="52"/>
      <c r="G16" s="53"/>
      <c r="H16" s="53"/>
      <c r="I16" s="53"/>
      <c r="J16" s="53"/>
      <c r="K16" s="53"/>
      <c r="L16" s="53"/>
      <c r="M16" s="53"/>
      <c r="N16" s="53"/>
      <c r="O16" s="53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1.25" customHeight="1" x14ac:dyDescent="0.35">
      <c r="A17" s="47"/>
      <c r="B17" s="57" t="s">
        <v>77</v>
      </c>
      <c r="C17" s="47"/>
      <c r="D17" s="47"/>
      <c r="E17" s="47"/>
      <c r="F17" s="56"/>
      <c r="G17" s="55"/>
      <c r="H17" s="55"/>
      <c r="I17" s="55"/>
      <c r="J17" s="55"/>
      <c r="K17" s="55"/>
      <c r="L17" s="55"/>
      <c r="M17" s="55"/>
      <c r="N17" s="55"/>
      <c r="O17" s="55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1.25" customHeight="1" x14ac:dyDescent="0.35">
      <c r="A18" s="47"/>
      <c r="B18" s="57"/>
      <c r="C18" s="47"/>
      <c r="D18" s="47"/>
      <c r="E18" s="47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1.25" customHeight="1" x14ac:dyDescent="0.35">
      <c r="A19" s="47"/>
      <c r="B19" s="57" t="s">
        <v>78</v>
      </c>
      <c r="C19" s="47"/>
      <c r="D19" s="47"/>
      <c r="E19" s="47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1.25" customHeight="1" x14ac:dyDescent="0.35">
      <c r="A20" s="47"/>
      <c r="B20" s="57" t="s">
        <v>79</v>
      </c>
      <c r="C20" s="47"/>
      <c r="D20" s="47"/>
      <c r="E20" s="47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1.25" customHeight="1" x14ac:dyDescent="0.35">
      <c r="A21" s="47"/>
      <c r="C21" s="47"/>
      <c r="D21" s="47"/>
      <c r="E21" s="47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1.25" customHeight="1" x14ac:dyDescent="0.35">
      <c r="A22" s="47"/>
      <c r="B22" s="57" t="s">
        <v>80</v>
      </c>
      <c r="C22" s="47"/>
      <c r="D22" s="47"/>
      <c r="E22" s="47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1.25" customHeight="1" x14ac:dyDescent="0.35">
      <c r="A23" s="47"/>
      <c r="C23" s="47"/>
      <c r="D23" s="47"/>
      <c r="E23" s="47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1.25" customHeight="1" x14ac:dyDescent="0.35">
      <c r="A24" s="47"/>
      <c r="B24" s="43" t="s">
        <v>81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1.25" customHeight="1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1.25" customHeight="1" x14ac:dyDescent="0.35">
      <c r="A26" s="47"/>
      <c r="B26" s="47" t="s">
        <v>82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1.25" customHeight="1" x14ac:dyDescent="0.35">
      <c r="A27" s="47"/>
      <c r="B27" s="47" t="s">
        <v>83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1.25" customHeight="1" x14ac:dyDescent="0.35">
      <c r="A28" s="47"/>
      <c r="B28" s="47" t="s">
        <v>84</v>
      </c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1.25" customHeight="1" x14ac:dyDescent="0.35">
      <c r="A29" s="47"/>
      <c r="B29" s="43" t="s">
        <v>85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1.25" customHeight="1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1.25" customHeight="1" x14ac:dyDescent="0.35">
      <c r="A31" s="47"/>
      <c r="B31" s="47" t="s">
        <v>86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1.25" customHeight="1" x14ac:dyDescent="0.35">
      <c r="A32" s="47"/>
      <c r="B32" s="47" t="s">
        <v>87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1.25" customHeight="1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1.25" customHeight="1" x14ac:dyDescent="0.35">
      <c r="A34" s="47"/>
      <c r="B34" s="47" t="s">
        <v>64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1.25" customHeight="1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1.25" customHeight="1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1.25" customHeight="1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1.25" customHeight="1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1.25" customHeight="1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1.25" customHeight="1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1.25" customHeight="1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1.25" customHeight="1" x14ac:dyDescent="0.3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1.25" customHeight="1" x14ac:dyDescent="0.3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1.25" customHeight="1" x14ac:dyDescent="0.3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1.25" customHeight="1" x14ac:dyDescent="0.3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1.25" customHeight="1" x14ac:dyDescent="0.3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1.25" customHeight="1" x14ac:dyDescent="0.3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1.25" customHeight="1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1.25" customHeight="1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1.25" customHeight="1" x14ac:dyDescent="0.3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1.25" customHeight="1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1.25" customHeight="1" x14ac:dyDescent="0.3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1.25" customHeight="1" x14ac:dyDescent="0.3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1.25" customHeight="1" x14ac:dyDescent="0.3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1.25" customHeight="1" x14ac:dyDescent="0.3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1.25" customHeight="1" x14ac:dyDescent="0.3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1.25" customHeight="1" x14ac:dyDescent="0.3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1.25" customHeight="1" x14ac:dyDescent="0.3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1.25" customHeight="1" x14ac:dyDescent="0.3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1.25" customHeight="1" x14ac:dyDescent="0.3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1.25" customHeight="1" x14ac:dyDescent="0.3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1.25" customHeight="1" x14ac:dyDescent="0.3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1.25" customHeight="1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1.25" customHeight="1" x14ac:dyDescent="0.3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1.25" customHeight="1" x14ac:dyDescent="0.3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1.25" customHeight="1" x14ac:dyDescent="0.3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1.25" customHeight="1" x14ac:dyDescent="0.3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1.25" customHeight="1" x14ac:dyDescent="0.3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1.25" customHeight="1" x14ac:dyDescent="0.3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1.25" customHeight="1" x14ac:dyDescent="0.3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1.25" customHeight="1" x14ac:dyDescent="0.3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1.25" customHeight="1" x14ac:dyDescent="0.3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1.25" customHeight="1" x14ac:dyDescent="0.3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1.25" customHeight="1" x14ac:dyDescent="0.3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1.25" customHeight="1" x14ac:dyDescent="0.3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1.25" customHeight="1" x14ac:dyDescent="0.3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1.25" customHeight="1" x14ac:dyDescent="0.3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1.25" customHeight="1" x14ac:dyDescent="0.3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1.25" customHeight="1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1.25" customHeight="1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1.25" customHeight="1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1.25" customHeight="1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1.25" customHeight="1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1.25" customHeight="1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1.25" customHeight="1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1.25" customHeight="1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1.25" customHeight="1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1.25" customHeight="1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1.25" customHeight="1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1.25" customHeight="1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1.25" customHeight="1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1.25" customHeight="1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1.25" customHeight="1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1.25" customHeight="1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1.25" customHeight="1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1.25" customHeight="1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1.25" customHeight="1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1.25" customHeight="1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1.25" customHeight="1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1.25" customHeight="1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1.25" customHeight="1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1.25" customHeight="1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1.25" customHeight="1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1.25" customHeight="1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1.25" customHeight="1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1.25" customHeight="1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1.25" customHeight="1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1.25" customHeight="1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1.25" customHeight="1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1.25" customHeight="1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1.25" customHeight="1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1.25" customHeight="1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1.25" customHeight="1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1.25" customHeight="1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1.25" customHeight="1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1.25" customHeight="1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1.25" customHeight="1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1.25" customHeight="1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1.25" customHeight="1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1.25" customHeight="1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1.25" customHeight="1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1.25" customHeight="1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1.25" customHeight="1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1.25" customHeight="1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1.25" customHeight="1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1.25" customHeight="1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1.25" customHeight="1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1.25" customHeight="1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1.25" customHeight="1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1.25" customHeight="1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1.25" customHeight="1" x14ac:dyDescent="0.3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1.25" customHeight="1" x14ac:dyDescent="0.3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1.25" customHeight="1" x14ac:dyDescent="0.3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1.25" customHeight="1" x14ac:dyDescent="0.3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1.25" customHeight="1" x14ac:dyDescent="0.3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1.25" customHeight="1" x14ac:dyDescent="0.35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1.25" customHeight="1" x14ac:dyDescent="0.35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1.25" customHeight="1" x14ac:dyDescent="0.35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1.25" customHeight="1" x14ac:dyDescent="0.35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1.25" customHeight="1" x14ac:dyDescent="0.35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1.25" customHeight="1" x14ac:dyDescent="0.35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1.25" customHeight="1" x14ac:dyDescent="0.35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1.25" customHeight="1" x14ac:dyDescent="0.35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1.25" customHeight="1" x14ac:dyDescent="0.35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1.25" customHeight="1" x14ac:dyDescent="0.35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1.25" customHeight="1" x14ac:dyDescent="0.35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1.25" customHeight="1" x14ac:dyDescent="0.35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1.25" customHeight="1" x14ac:dyDescent="0.35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1.25" customHeight="1" x14ac:dyDescent="0.35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1.25" customHeight="1" x14ac:dyDescent="0.35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1.25" customHeight="1" x14ac:dyDescent="0.35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1.25" customHeight="1" x14ac:dyDescent="0.35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1.25" customHeight="1" x14ac:dyDescent="0.35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1.25" customHeight="1" x14ac:dyDescent="0.35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1.25" customHeight="1" x14ac:dyDescent="0.35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1.25" customHeight="1" x14ac:dyDescent="0.35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1.25" customHeight="1" x14ac:dyDescent="0.35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1.25" customHeight="1" x14ac:dyDescent="0.35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1.25" customHeight="1" x14ac:dyDescent="0.35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1.25" customHeight="1" x14ac:dyDescent="0.35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1.25" customHeight="1" x14ac:dyDescent="0.35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1.25" customHeight="1" x14ac:dyDescent="0.35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1.25" customHeight="1" x14ac:dyDescent="0.35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1.25" customHeight="1" x14ac:dyDescent="0.35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1.25" customHeight="1" x14ac:dyDescent="0.35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1.25" customHeight="1" x14ac:dyDescent="0.35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1.25" customHeight="1" x14ac:dyDescent="0.35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1.25" customHeight="1" x14ac:dyDescent="0.35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1.25" customHeight="1" x14ac:dyDescent="0.35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1.25" customHeight="1" x14ac:dyDescent="0.35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1.25" customHeight="1" x14ac:dyDescent="0.35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1.25" customHeight="1" x14ac:dyDescent="0.35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1.25" customHeight="1" x14ac:dyDescent="0.35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1.25" customHeight="1" x14ac:dyDescent="0.35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1.25" customHeight="1" x14ac:dyDescent="0.35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1.25" customHeight="1" x14ac:dyDescent="0.35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1.25" customHeight="1" x14ac:dyDescent="0.35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1.25" customHeight="1" x14ac:dyDescent="0.35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1.25" customHeight="1" x14ac:dyDescent="0.35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1.25" customHeight="1" x14ac:dyDescent="0.35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1.25" customHeight="1" x14ac:dyDescent="0.35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1.25" customHeight="1" x14ac:dyDescent="0.35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1.25" customHeight="1" x14ac:dyDescent="0.35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1.25" customHeight="1" x14ac:dyDescent="0.35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1.25" customHeight="1" x14ac:dyDescent="0.35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1.25" customHeight="1" x14ac:dyDescent="0.35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1.25" customHeight="1" x14ac:dyDescent="0.35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1.25" customHeight="1" x14ac:dyDescent="0.35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1.25" customHeight="1" x14ac:dyDescent="0.35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1.25" customHeight="1" x14ac:dyDescent="0.35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1.25" customHeight="1" x14ac:dyDescent="0.35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1.25" customHeight="1" x14ac:dyDescent="0.35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1.25" customHeight="1" x14ac:dyDescent="0.35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1.25" customHeight="1" x14ac:dyDescent="0.35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1.25" customHeight="1" x14ac:dyDescent="0.35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1.25" customHeight="1" x14ac:dyDescent="0.35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1.25" customHeight="1" x14ac:dyDescent="0.35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1.25" customHeight="1" x14ac:dyDescent="0.35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1.25" customHeight="1" x14ac:dyDescent="0.35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1.25" customHeight="1" x14ac:dyDescent="0.35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1.25" customHeight="1" x14ac:dyDescent="0.35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1.25" customHeight="1" x14ac:dyDescent="0.35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1.25" customHeight="1" x14ac:dyDescent="0.35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1.25" customHeight="1" x14ac:dyDescent="0.35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1.25" customHeight="1" x14ac:dyDescent="0.35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1.25" customHeight="1" x14ac:dyDescent="0.35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1.25" customHeight="1" x14ac:dyDescent="0.35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1.25" customHeight="1" x14ac:dyDescent="0.35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1.25" customHeight="1" x14ac:dyDescent="0.35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1.25" customHeight="1" x14ac:dyDescent="0.35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1.25" customHeight="1" x14ac:dyDescent="0.35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1.25" customHeight="1" x14ac:dyDescent="0.35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1.25" customHeight="1" x14ac:dyDescent="0.35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1.25" customHeight="1" x14ac:dyDescent="0.35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1.25" customHeight="1" x14ac:dyDescent="0.35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1.25" customHeight="1" x14ac:dyDescent="0.35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1.25" customHeight="1" x14ac:dyDescent="0.35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1.25" customHeight="1" x14ac:dyDescent="0.35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1.25" customHeight="1" x14ac:dyDescent="0.35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1.25" customHeight="1" x14ac:dyDescent="0.35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1.25" customHeight="1" x14ac:dyDescent="0.35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1.25" customHeight="1" x14ac:dyDescent="0.35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1.25" customHeight="1" x14ac:dyDescent="0.35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1.25" customHeight="1" x14ac:dyDescent="0.35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1.25" customHeight="1" x14ac:dyDescent="0.35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1.25" customHeight="1" x14ac:dyDescent="0.35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1.25" customHeight="1" x14ac:dyDescent="0.35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1.25" customHeight="1" x14ac:dyDescent="0.35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1.25" customHeight="1" x14ac:dyDescent="0.35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1.25" customHeight="1" x14ac:dyDescent="0.35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1.25" customHeight="1" x14ac:dyDescent="0.35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1.25" customHeight="1" x14ac:dyDescent="0.35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1.25" customHeight="1" x14ac:dyDescent="0.35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1.25" customHeight="1" x14ac:dyDescent="0.35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1.25" customHeight="1" x14ac:dyDescent="0.35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1.25" customHeight="1" x14ac:dyDescent="0.35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1.25" customHeight="1" x14ac:dyDescent="0.35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1.25" customHeight="1" x14ac:dyDescent="0.35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1.25" customHeight="1" x14ac:dyDescent="0.35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1.25" customHeight="1" x14ac:dyDescent="0.3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1.25" customHeight="1" x14ac:dyDescent="0.35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1.25" customHeight="1" x14ac:dyDescent="0.35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1.25" customHeight="1" x14ac:dyDescent="0.35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1.25" customHeight="1" x14ac:dyDescent="0.35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1.25" customHeight="1" x14ac:dyDescent="0.35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1.25" customHeight="1" x14ac:dyDescent="0.35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1.25" customHeight="1" x14ac:dyDescent="0.35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1.25" customHeight="1" x14ac:dyDescent="0.35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1.25" customHeight="1" x14ac:dyDescent="0.35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1.25" customHeight="1" x14ac:dyDescent="0.35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1.25" customHeight="1" x14ac:dyDescent="0.35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1.25" customHeight="1" x14ac:dyDescent="0.35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1.25" customHeight="1" x14ac:dyDescent="0.35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1.25" customHeight="1" x14ac:dyDescent="0.35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1.25" customHeight="1" x14ac:dyDescent="0.35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1.25" customHeight="1" x14ac:dyDescent="0.35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1.25" customHeight="1" x14ac:dyDescent="0.35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1.25" customHeight="1" x14ac:dyDescent="0.35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1.25" customHeight="1" x14ac:dyDescent="0.35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1.25" customHeight="1" x14ac:dyDescent="0.35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1.25" customHeight="1" x14ac:dyDescent="0.35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1.25" customHeight="1" x14ac:dyDescent="0.35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1.25" customHeight="1" x14ac:dyDescent="0.35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1.25" customHeight="1" x14ac:dyDescent="0.35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1.25" customHeight="1" x14ac:dyDescent="0.35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1.25" customHeight="1" x14ac:dyDescent="0.35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1.25" customHeight="1" x14ac:dyDescent="0.35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1.25" customHeight="1" x14ac:dyDescent="0.35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1.25" customHeight="1" x14ac:dyDescent="0.35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1.25" customHeight="1" x14ac:dyDescent="0.35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1.25" customHeight="1" x14ac:dyDescent="0.35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1.25" customHeight="1" x14ac:dyDescent="0.35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1.25" customHeight="1" x14ac:dyDescent="0.35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1.25" customHeight="1" x14ac:dyDescent="0.35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1.25" customHeight="1" x14ac:dyDescent="0.35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1.25" customHeight="1" x14ac:dyDescent="0.35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1.25" customHeight="1" x14ac:dyDescent="0.35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1.25" customHeight="1" x14ac:dyDescent="0.35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1.25" customHeight="1" x14ac:dyDescent="0.35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1.25" customHeight="1" x14ac:dyDescent="0.35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1.25" customHeight="1" x14ac:dyDescent="0.35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1.25" customHeight="1" x14ac:dyDescent="0.35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1.25" customHeight="1" x14ac:dyDescent="0.35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1.25" customHeight="1" x14ac:dyDescent="0.35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1.25" customHeight="1" x14ac:dyDescent="0.35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1.25" customHeight="1" x14ac:dyDescent="0.35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1.25" customHeight="1" x14ac:dyDescent="0.35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1.25" customHeight="1" x14ac:dyDescent="0.35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1.25" customHeight="1" x14ac:dyDescent="0.35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1.25" customHeight="1" x14ac:dyDescent="0.35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1.25" customHeight="1" x14ac:dyDescent="0.35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1.25" customHeight="1" x14ac:dyDescent="0.35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1.25" customHeight="1" x14ac:dyDescent="0.35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1.25" customHeight="1" x14ac:dyDescent="0.35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1.25" customHeight="1" x14ac:dyDescent="0.35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1.25" customHeight="1" x14ac:dyDescent="0.35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1.25" customHeight="1" x14ac:dyDescent="0.35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1.25" customHeight="1" x14ac:dyDescent="0.35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1.25" customHeight="1" x14ac:dyDescent="0.35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1.25" customHeight="1" x14ac:dyDescent="0.35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1.25" customHeight="1" x14ac:dyDescent="0.35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1.25" customHeight="1" x14ac:dyDescent="0.35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1.25" customHeight="1" x14ac:dyDescent="0.35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1.25" customHeight="1" x14ac:dyDescent="0.35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1.25" customHeight="1" x14ac:dyDescent="0.35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1.25" customHeight="1" x14ac:dyDescent="0.35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1.25" customHeight="1" x14ac:dyDescent="0.35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1.25" customHeight="1" x14ac:dyDescent="0.35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1.25" customHeight="1" x14ac:dyDescent="0.35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1.25" customHeight="1" x14ac:dyDescent="0.35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1.25" customHeight="1" x14ac:dyDescent="0.35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1.25" customHeight="1" x14ac:dyDescent="0.35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1.25" customHeight="1" x14ac:dyDescent="0.35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1.25" customHeight="1" x14ac:dyDescent="0.35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1.25" customHeight="1" x14ac:dyDescent="0.35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1.25" customHeight="1" x14ac:dyDescent="0.35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1.25" customHeight="1" x14ac:dyDescent="0.35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1.25" customHeight="1" x14ac:dyDescent="0.35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1.25" customHeight="1" x14ac:dyDescent="0.35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1.25" customHeight="1" x14ac:dyDescent="0.35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1.25" customHeight="1" x14ac:dyDescent="0.35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1.25" customHeight="1" x14ac:dyDescent="0.35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1.25" customHeight="1" x14ac:dyDescent="0.35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1.25" customHeight="1" x14ac:dyDescent="0.35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1.25" customHeight="1" x14ac:dyDescent="0.35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1.25" customHeight="1" x14ac:dyDescent="0.35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1.25" customHeight="1" x14ac:dyDescent="0.35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1.25" customHeight="1" x14ac:dyDescent="0.35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1.25" customHeight="1" x14ac:dyDescent="0.35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1.25" customHeight="1" x14ac:dyDescent="0.35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1.25" customHeight="1" x14ac:dyDescent="0.35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1.25" customHeight="1" x14ac:dyDescent="0.35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1.25" customHeight="1" x14ac:dyDescent="0.35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1.25" customHeight="1" x14ac:dyDescent="0.35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1.25" customHeight="1" x14ac:dyDescent="0.35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1.25" customHeight="1" x14ac:dyDescent="0.35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1.25" customHeight="1" x14ac:dyDescent="0.35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1.25" customHeight="1" x14ac:dyDescent="0.35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1.25" customHeight="1" x14ac:dyDescent="0.35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1.25" customHeight="1" x14ac:dyDescent="0.35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1.25" customHeight="1" x14ac:dyDescent="0.35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1.25" customHeight="1" x14ac:dyDescent="0.35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1.25" customHeight="1" x14ac:dyDescent="0.35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1.25" customHeight="1" x14ac:dyDescent="0.35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1.25" customHeight="1" x14ac:dyDescent="0.35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1.25" customHeight="1" x14ac:dyDescent="0.35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1.25" customHeight="1" x14ac:dyDescent="0.35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1.25" customHeight="1" x14ac:dyDescent="0.35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1.25" customHeight="1" x14ac:dyDescent="0.35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1.25" customHeight="1" x14ac:dyDescent="0.35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1.25" customHeight="1" x14ac:dyDescent="0.35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1.25" customHeight="1" x14ac:dyDescent="0.35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1.25" customHeight="1" x14ac:dyDescent="0.35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1.25" customHeight="1" x14ac:dyDescent="0.35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1.25" customHeight="1" x14ac:dyDescent="0.35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1.25" customHeight="1" x14ac:dyDescent="0.35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1.25" customHeight="1" x14ac:dyDescent="0.35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1.25" customHeight="1" x14ac:dyDescent="0.35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1.25" customHeight="1" x14ac:dyDescent="0.35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1.25" customHeight="1" x14ac:dyDescent="0.35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1.25" customHeight="1" x14ac:dyDescent="0.35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1.25" customHeight="1" x14ac:dyDescent="0.35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1.25" customHeight="1" x14ac:dyDescent="0.35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1.25" customHeight="1" x14ac:dyDescent="0.35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1.25" customHeight="1" x14ac:dyDescent="0.35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1.25" customHeight="1" x14ac:dyDescent="0.35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1.25" customHeight="1" x14ac:dyDescent="0.35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1.25" customHeight="1" x14ac:dyDescent="0.35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1.25" customHeight="1" x14ac:dyDescent="0.35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1.25" customHeight="1" x14ac:dyDescent="0.35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1.25" customHeight="1" x14ac:dyDescent="0.35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1.25" customHeight="1" x14ac:dyDescent="0.35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1.25" customHeight="1" x14ac:dyDescent="0.35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1.25" customHeight="1" x14ac:dyDescent="0.35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1.25" customHeight="1" x14ac:dyDescent="0.35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1.25" customHeight="1" x14ac:dyDescent="0.35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1.25" customHeight="1" x14ac:dyDescent="0.35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1.25" customHeight="1" x14ac:dyDescent="0.35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1.25" customHeight="1" x14ac:dyDescent="0.35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1.25" customHeight="1" x14ac:dyDescent="0.35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1.25" customHeight="1" x14ac:dyDescent="0.35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1.25" customHeight="1" x14ac:dyDescent="0.35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1.25" customHeight="1" x14ac:dyDescent="0.35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1.25" customHeight="1" x14ac:dyDescent="0.35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1.25" customHeight="1" x14ac:dyDescent="0.35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1.25" customHeight="1" x14ac:dyDescent="0.35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1.25" customHeight="1" x14ac:dyDescent="0.35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1.25" customHeight="1" x14ac:dyDescent="0.35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1.25" customHeight="1" x14ac:dyDescent="0.35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1.25" customHeight="1" x14ac:dyDescent="0.35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1.25" customHeight="1" x14ac:dyDescent="0.35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1.25" customHeight="1" x14ac:dyDescent="0.35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1.25" customHeight="1" x14ac:dyDescent="0.35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1.25" customHeight="1" x14ac:dyDescent="0.35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1.25" customHeight="1" x14ac:dyDescent="0.35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1.25" customHeight="1" x14ac:dyDescent="0.35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1.25" customHeight="1" x14ac:dyDescent="0.35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1.25" customHeight="1" x14ac:dyDescent="0.35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1.25" customHeight="1" x14ac:dyDescent="0.35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1.25" customHeight="1" x14ac:dyDescent="0.35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1.25" customHeight="1" x14ac:dyDescent="0.35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1.25" customHeight="1" x14ac:dyDescent="0.35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1.25" customHeight="1" x14ac:dyDescent="0.35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1.25" customHeight="1" x14ac:dyDescent="0.35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1.25" customHeight="1" x14ac:dyDescent="0.35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1.25" customHeight="1" x14ac:dyDescent="0.35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1.25" customHeight="1" x14ac:dyDescent="0.35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1.25" customHeight="1" x14ac:dyDescent="0.35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1.25" customHeight="1" x14ac:dyDescent="0.35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1.25" customHeight="1" x14ac:dyDescent="0.35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1.25" customHeight="1" x14ac:dyDescent="0.35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1.25" customHeight="1" x14ac:dyDescent="0.35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1.25" customHeight="1" x14ac:dyDescent="0.35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1.25" customHeight="1" x14ac:dyDescent="0.35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1.25" customHeight="1" x14ac:dyDescent="0.35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1.25" customHeight="1" x14ac:dyDescent="0.35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1.25" customHeight="1" x14ac:dyDescent="0.35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1.25" customHeight="1" x14ac:dyDescent="0.35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1.25" customHeight="1" x14ac:dyDescent="0.35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1.25" customHeight="1" x14ac:dyDescent="0.35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1.25" customHeight="1" x14ac:dyDescent="0.35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1.25" customHeight="1" x14ac:dyDescent="0.35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1.25" customHeight="1" x14ac:dyDescent="0.35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1.25" customHeight="1" x14ac:dyDescent="0.35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1.25" customHeight="1" x14ac:dyDescent="0.35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1.25" customHeight="1" x14ac:dyDescent="0.35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1.25" customHeight="1" x14ac:dyDescent="0.35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1.25" customHeight="1" x14ac:dyDescent="0.35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1.25" customHeight="1" x14ac:dyDescent="0.35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1.25" customHeight="1" x14ac:dyDescent="0.35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1.25" customHeight="1" x14ac:dyDescent="0.35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1.25" customHeight="1" x14ac:dyDescent="0.35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1.25" customHeight="1" x14ac:dyDescent="0.35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1.25" customHeight="1" x14ac:dyDescent="0.35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1.25" customHeight="1" x14ac:dyDescent="0.35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1.25" customHeight="1" x14ac:dyDescent="0.35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1.25" customHeight="1" x14ac:dyDescent="0.35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1.25" customHeight="1" x14ac:dyDescent="0.35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1.25" customHeight="1" x14ac:dyDescent="0.35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1.25" customHeight="1" x14ac:dyDescent="0.35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1.25" customHeight="1" x14ac:dyDescent="0.35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1.25" customHeight="1" x14ac:dyDescent="0.35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1.25" customHeight="1" x14ac:dyDescent="0.35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1.25" customHeight="1" x14ac:dyDescent="0.35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1.25" customHeight="1" x14ac:dyDescent="0.35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1.25" customHeight="1" x14ac:dyDescent="0.35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1.25" customHeight="1" x14ac:dyDescent="0.35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1.25" customHeight="1" x14ac:dyDescent="0.35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1.25" customHeight="1" x14ac:dyDescent="0.35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1.25" customHeight="1" x14ac:dyDescent="0.35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1.25" customHeight="1" x14ac:dyDescent="0.35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1.25" customHeight="1" x14ac:dyDescent="0.35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1.25" customHeight="1" x14ac:dyDescent="0.35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1.25" customHeight="1" x14ac:dyDescent="0.35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1.25" customHeight="1" x14ac:dyDescent="0.35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1.25" customHeight="1" x14ac:dyDescent="0.35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1.25" customHeight="1" x14ac:dyDescent="0.35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1.25" customHeight="1" x14ac:dyDescent="0.35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1.25" customHeight="1" x14ac:dyDescent="0.35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1.25" customHeight="1" x14ac:dyDescent="0.35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1.25" customHeight="1" x14ac:dyDescent="0.35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1.25" customHeight="1" x14ac:dyDescent="0.35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1.25" customHeight="1" x14ac:dyDescent="0.35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1.25" customHeight="1" x14ac:dyDescent="0.35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1.25" customHeight="1" x14ac:dyDescent="0.35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1.25" customHeight="1" x14ac:dyDescent="0.35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1.25" customHeight="1" x14ac:dyDescent="0.35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1.25" customHeight="1" x14ac:dyDescent="0.35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1.25" customHeight="1" x14ac:dyDescent="0.35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1.25" customHeight="1" x14ac:dyDescent="0.35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1.25" customHeight="1" x14ac:dyDescent="0.35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1.25" customHeight="1" x14ac:dyDescent="0.35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1.25" customHeight="1" x14ac:dyDescent="0.35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1.25" customHeight="1" x14ac:dyDescent="0.35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1.25" customHeight="1" x14ac:dyDescent="0.35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1.25" customHeight="1" x14ac:dyDescent="0.35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1.25" customHeight="1" x14ac:dyDescent="0.35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1.25" customHeight="1" x14ac:dyDescent="0.35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1.25" customHeight="1" x14ac:dyDescent="0.35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1.25" customHeight="1" x14ac:dyDescent="0.35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1.25" customHeight="1" x14ac:dyDescent="0.35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1.25" customHeight="1" x14ac:dyDescent="0.35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1.25" customHeight="1" x14ac:dyDescent="0.35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1.25" customHeight="1" x14ac:dyDescent="0.35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1.25" customHeight="1" x14ac:dyDescent="0.35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1.25" customHeight="1" x14ac:dyDescent="0.35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1.25" customHeight="1" x14ac:dyDescent="0.35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1.25" customHeight="1" x14ac:dyDescent="0.35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1.25" customHeight="1" x14ac:dyDescent="0.35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1.25" customHeight="1" x14ac:dyDescent="0.35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1.25" customHeight="1" x14ac:dyDescent="0.35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1.25" customHeight="1" x14ac:dyDescent="0.35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1.25" customHeight="1" x14ac:dyDescent="0.35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1.25" customHeight="1" x14ac:dyDescent="0.35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1.25" customHeight="1" x14ac:dyDescent="0.35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1.25" customHeight="1" x14ac:dyDescent="0.35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1.25" customHeight="1" x14ac:dyDescent="0.35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1.25" customHeight="1" x14ac:dyDescent="0.35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1.25" customHeight="1" x14ac:dyDescent="0.35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1.25" customHeight="1" x14ac:dyDescent="0.35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1.25" customHeight="1" x14ac:dyDescent="0.35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1.25" customHeight="1" x14ac:dyDescent="0.35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1.25" customHeight="1" x14ac:dyDescent="0.35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1.25" customHeight="1" x14ac:dyDescent="0.35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1.25" customHeight="1" x14ac:dyDescent="0.35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1.25" customHeight="1" x14ac:dyDescent="0.35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1.25" customHeight="1" x14ac:dyDescent="0.35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1.25" customHeight="1" x14ac:dyDescent="0.35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1.25" customHeight="1" x14ac:dyDescent="0.35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1.25" customHeight="1" x14ac:dyDescent="0.35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1.25" customHeight="1" x14ac:dyDescent="0.35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1.25" customHeight="1" x14ac:dyDescent="0.35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1.25" customHeight="1" x14ac:dyDescent="0.35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1.25" customHeight="1" x14ac:dyDescent="0.35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1.25" customHeight="1" x14ac:dyDescent="0.35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1.25" customHeight="1" x14ac:dyDescent="0.35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1.25" customHeight="1" x14ac:dyDescent="0.35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1.25" customHeight="1" x14ac:dyDescent="0.35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1.25" customHeight="1" x14ac:dyDescent="0.35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1.25" customHeight="1" x14ac:dyDescent="0.35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1.25" customHeight="1" x14ac:dyDescent="0.35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1.25" customHeight="1" x14ac:dyDescent="0.35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1.25" customHeight="1" x14ac:dyDescent="0.35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1.25" customHeight="1" x14ac:dyDescent="0.35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1.25" customHeight="1" x14ac:dyDescent="0.35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1.25" customHeight="1" x14ac:dyDescent="0.35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1.25" customHeight="1" x14ac:dyDescent="0.35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1.25" customHeight="1" x14ac:dyDescent="0.35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1.25" customHeight="1" x14ac:dyDescent="0.35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1.25" customHeight="1" x14ac:dyDescent="0.35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1.25" customHeight="1" x14ac:dyDescent="0.35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1.25" customHeight="1" x14ac:dyDescent="0.35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1.25" customHeight="1" x14ac:dyDescent="0.35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1.25" customHeight="1" x14ac:dyDescent="0.35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1.25" customHeight="1" x14ac:dyDescent="0.35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1.25" customHeight="1" x14ac:dyDescent="0.35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1.25" customHeight="1" x14ac:dyDescent="0.35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1.25" customHeight="1" x14ac:dyDescent="0.35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1.25" customHeight="1" x14ac:dyDescent="0.35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1.25" customHeight="1" x14ac:dyDescent="0.35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1.25" customHeight="1" x14ac:dyDescent="0.35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1.25" customHeight="1" x14ac:dyDescent="0.35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1.25" customHeight="1" x14ac:dyDescent="0.35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1.25" customHeight="1" x14ac:dyDescent="0.35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1.25" customHeight="1" x14ac:dyDescent="0.35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1.25" customHeight="1" x14ac:dyDescent="0.35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1.25" customHeight="1" x14ac:dyDescent="0.35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1.25" customHeight="1" x14ac:dyDescent="0.35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1.25" customHeight="1" x14ac:dyDescent="0.35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1.25" customHeight="1" x14ac:dyDescent="0.35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1.25" customHeight="1" x14ac:dyDescent="0.35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1.25" customHeight="1" x14ac:dyDescent="0.35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1.25" customHeight="1" x14ac:dyDescent="0.35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1.25" customHeight="1" x14ac:dyDescent="0.35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1.25" customHeight="1" x14ac:dyDescent="0.35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1.25" customHeight="1" x14ac:dyDescent="0.35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1.25" customHeight="1" x14ac:dyDescent="0.35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1.25" customHeight="1" x14ac:dyDescent="0.35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1.25" customHeight="1" x14ac:dyDescent="0.35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1.25" customHeight="1" x14ac:dyDescent="0.35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1.25" customHeight="1" x14ac:dyDescent="0.35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1.25" customHeight="1" x14ac:dyDescent="0.35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1.25" customHeight="1" x14ac:dyDescent="0.35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1.25" customHeight="1" x14ac:dyDescent="0.35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1.25" customHeight="1" x14ac:dyDescent="0.35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1.25" customHeight="1" x14ac:dyDescent="0.35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1.25" customHeight="1" x14ac:dyDescent="0.35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1.25" customHeight="1" x14ac:dyDescent="0.35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1.25" customHeight="1" x14ac:dyDescent="0.35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1.25" customHeight="1" x14ac:dyDescent="0.35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1.25" customHeight="1" x14ac:dyDescent="0.35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1.25" customHeight="1" x14ac:dyDescent="0.35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1.25" customHeight="1" x14ac:dyDescent="0.35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1.25" customHeight="1" x14ac:dyDescent="0.35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1.25" customHeight="1" x14ac:dyDescent="0.35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1.25" customHeight="1" x14ac:dyDescent="0.35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1.25" customHeight="1" x14ac:dyDescent="0.35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1.25" customHeight="1" x14ac:dyDescent="0.35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1.25" customHeight="1" x14ac:dyDescent="0.35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1.25" customHeight="1" x14ac:dyDescent="0.35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1.25" customHeight="1" x14ac:dyDescent="0.35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1.25" customHeight="1" x14ac:dyDescent="0.35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1.25" customHeight="1" x14ac:dyDescent="0.35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1.25" customHeight="1" x14ac:dyDescent="0.35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1.25" customHeight="1" x14ac:dyDescent="0.35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1.25" customHeight="1" x14ac:dyDescent="0.35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1.25" customHeight="1" x14ac:dyDescent="0.35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1.25" customHeight="1" x14ac:dyDescent="0.35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1.25" customHeight="1" x14ac:dyDescent="0.35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1.25" customHeight="1" x14ac:dyDescent="0.35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1.25" customHeight="1" x14ac:dyDescent="0.35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1.25" customHeight="1" x14ac:dyDescent="0.35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1.25" customHeight="1" x14ac:dyDescent="0.35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1.25" customHeight="1" x14ac:dyDescent="0.35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1.25" customHeight="1" x14ac:dyDescent="0.35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1.25" customHeight="1" x14ac:dyDescent="0.35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1.25" customHeight="1" x14ac:dyDescent="0.35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1.25" customHeight="1" x14ac:dyDescent="0.35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1.25" customHeight="1" x14ac:dyDescent="0.35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1.25" customHeight="1" x14ac:dyDescent="0.35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1.25" customHeight="1" x14ac:dyDescent="0.35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1.25" customHeight="1" x14ac:dyDescent="0.35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1.25" customHeight="1" x14ac:dyDescent="0.35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1.25" customHeight="1" x14ac:dyDescent="0.35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1.25" customHeight="1" x14ac:dyDescent="0.35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1.25" customHeight="1" x14ac:dyDescent="0.35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1.25" customHeight="1" x14ac:dyDescent="0.35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1.25" customHeight="1" x14ac:dyDescent="0.35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1.25" customHeight="1" x14ac:dyDescent="0.35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1.25" customHeight="1" x14ac:dyDescent="0.35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1.25" customHeight="1" x14ac:dyDescent="0.35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1.25" customHeight="1" x14ac:dyDescent="0.35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1.25" customHeight="1" x14ac:dyDescent="0.35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1.25" customHeight="1" x14ac:dyDescent="0.35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1.25" customHeight="1" x14ac:dyDescent="0.35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1.25" customHeight="1" x14ac:dyDescent="0.35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1.25" customHeight="1" x14ac:dyDescent="0.35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1.25" customHeight="1" x14ac:dyDescent="0.35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1.25" customHeight="1" x14ac:dyDescent="0.35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1.25" customHeight="1" x14ac:dyDescent="0.35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1.25" customHeight="1" x14ac:dyDescent="0.35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1.25" customHeight="1" x14ac:dyDescent="0.35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1.25" customHeight="1" x14ac:dyDescent="0.35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1.25" customHeight="1" x14ac:dyDescent="0.35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1.25" customHeight="1" x14ac:dyDescent="0.35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1.25" customHeight="1" x14ac:dyDescent="0.35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1.25" customHeight="1" x14ac:dyDescent="0.35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1.25" customHeight="1" x14ac:dyDescent="0.35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1.25" customHeight="1" x14ac:dyDescent="0.35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1.25" customHeight="1" x14ac:dyDescent="0.35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1.25" customHeight="1" x14ac:dyDescent="0.35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1.25" customHeight="1" x14ac:dyDescent="0.35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1.25" customHeight="1" x14ac:dyDescent="0.35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1.25" customHeight="1" x14ac:dyDescent="0.35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1.25" customHeight="1" x14ac:dyDescent="0.35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1.25" customHeight="1" x14ac:dyDescent="0.35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1.25" customHeight="1" x14ac:dyDescent="0.35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1.25" customHeight="1" x14ac:dyDescent="0.35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1.25" customHeight="1" x14ac:dyDescent="0.35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1.25" customHeight="1" x14ac:dyDescent="0.35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1.25" customHeight="1" x14ac:dyDescent="0.35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1.25" customHeight="1" x14ac:dyDescent="0.35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1.25" customHeight="1" x14ac:dyDescent="0.35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1.25" customHeight="1" x14ac:dyDescent="0.35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1.25" customHeight="1" x14ac:dyDescent="0.35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1.25" customHeight="1" x14ac:dyDescent="0.35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1.25" customHeight="1" x14ac:dyDescent="0.35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1.25" customHeight="1" x14ac:dyDescent="0.35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1.25" customHeight="1" x14ac:dyDescent="0.35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1.25" customHeight="1" x14ac:dyDescent="0.35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1.25" customHeight="1" x14ac:dyDescent="0.35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1.25" customHeight="1" x14ac:dyDescent="0.35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1.25" customHeight="1" x14ac:dyDescent="0.35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1.25" customHeight="1" x14ac:dyDescent="0.35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1.25" customHeight="1" x14ac:dyDescent="0.35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1.25" customHeight="1" x14ac:dyDescent="0.35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1.25" customHeight="1" x14ac:dyDescent="0.35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1.25" customHeight="1" x14ac:dyDescent="0.35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1.25" customHeight="1" x14ac:dyDescent="0.35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1.25" customHeight="1" x14ac:dyDescent="0.35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1.25" customHeight="1" x14ac:dyDescent="0.35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1.25" customHeight="1" x14ac:dyDescent="0.35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1.25" customHeight="1" x14ac:dyDescent="0.35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1.25" customHeight="1" x14ac:dyDescent="0.35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1.25" customHeight="1" x14ac:dyDescent="0.35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1.25" customHeight="1" x14ac:dyDescent="0.35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1.25" customHeight="1" x14ac:dyDescent="0.35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1.25" customHeight="1" x14ac:dyDescent="0.35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1.25" customHeight="1" x14ac:dyDescent="0.35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1.25" customHeight="1" x14ac:dyDescent="0.35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1.25" customHeight="1" x14ac:dyDescent="0.35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1.25" customHeight="1" x14ac:dyDescent="0.35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1.25" customHeight="1" x14ac:dyDescent="0.35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1.25" customHeight="1" x14ac:dyDescent="0.35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1.25" customHeight="1" x14ac:dyDescent="0.35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1.25" customHeight="1" x14ac:dyDescent="0.35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1.25" customHeight="1" x14ac:dyDescent="0.35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1.25" customHeight="1" x14ac:dyDescent="0.35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1.25" customHeight="1" x14ac:dyDescent="0.35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1.25" customHeight="1" x14ac:dyDescent="0.35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1.25" customHeight="1" x14ac:dyDescent="0.35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1.25" customHeight="1" x14ac:dyDescent="0.35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1.25" customHeight="1" x14ac:dyDescent="0.35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1.25" customHeight="1" x14ac:dyDescent="0.35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1.25" customHeight="1" x14ac:dyDescent="0.35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1.25" customHeight="1" x14ac:dyDescent="0.35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1.25" customHeight="1" x14ac:dyDescent="0.35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1.25" customHeight="1" x14ac:dyDescent="0.35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1.25" customHeight="1" x14ac:dyDescent="0.35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1.25" customHeight="1" x14ac:dyDescent="0.35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1.25" customHeight="1" x14ac:dyDescent="0.35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1.25" customHeight="1" x14ac:dyDescent="0.35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1.25" customHeight="1" x14ac:dyDescent="0.35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1.25" customHeight="1" x14ac:dyDescent="0.35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1.25" customHeight="1" x14ac:dyDescent="0.35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1.25" customHeight="1" x14ac:dyDescent="0.35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1.25" customHeight="1" x14ac:dyDescent="0.35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1.25" customHeight="1" x14ac:dyDescent="0.35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1.25" customHeight="1" x14ac:dyDescent="0.35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1.25" customHeight="1" x14ac:dyDescent="0.35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1.25" customHeight="1" x14ac:dyDescent="0.35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1.25" customHeight="1" x14ac:dyDescent="0.35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1.25" customHeight="1" x14ac:dyDescent="0.35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1.25" customHeight="1" x14ac:dyDescent="0.35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1.25" customHeight="1" x14ac:dyDescent="0.35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1.25" customHeight="1" x14ac:dyDescent="0.35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1.25" customHeight="1" x14ac:dyDescent="0.35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1.25" customHeight="1" x14ac:dyDescent="0.35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1.25" customHeight="1" x14ac:dyDescent="0.35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1.25" customHeight="1" x14ac:dyDescent="0.35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1.25" customHeight="1" x14ac:dyDescent="0.35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1.25" customHeight="1" x14ac:dyDescent="0.35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1.25" customHeight="1" x14ac:dyDescent="0.35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1.25" customHeight="1" x14ac:dyDescent="0.35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1.25" customHeight="1" x14ac:dyDescent="0.35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1.25" customHeight="1" x14ac:dyDescent="0.35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1.25" customHeight="1" x14ac:dyDescent="0.35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1.25" customHeight="1" x14ac:dyDescent="0.35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1.25" customHeight="1" x14ac:dyDescent="0.35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1.25" customHeight="1" x14ac:dyDescent="0.35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1.25" customHeight="1" x14ac:dyDescent="0.35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1.25" customHeight="1" x14ac:dyDescent="0.35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1.25" customHeight="1" x14ac:dyDescent="0.35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1.25" customHeight="1" x14ac:dyDescent="0.35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1.25" customHeight="1" x14ac:dyDescent="0.35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1.25" customHeight="1" x14ac:dyDescent="0.35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1.25" customHeight="1" x14ac:dyDescent="0.35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1.25" customHeight="1" x14ac:dyDescent="0.35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1.25" customHeight="1" x14ac:dyDescent="0.35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1.25" customHeight="1" x14ac:dyDescent="0.35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1.25" customHeight="1" x14ac:dyDescent="0.35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1.25" customHeight="1" x14ac:dyDescent="0.35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1.25" customHeight="1" x14ac:dyDescent="0.35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1.25" customHeight="1" x14ac:dyDescent="0.35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1.25" customHeight="1" x14ac:dyDescent="0.35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1.25" customHeight="1" x14ac:dyDescent="0.35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1.25" customHeight="1" x14ac:dyDescent="0.35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1.25" customHeight="1" x14ac:dyDescent="0.35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1.25" customHeight="1" x14ac:dyDescent="0.35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1.25" customHeight="1" x14ac:dyDescent="0.35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1.25" customHeight="1" x14ac:dyDescent="0.35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1.25" customHeight="1" x14ac:dyDescent="0.35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1.25" customHeight="1" x14ac:dyDescent="0.35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1.25" customHeight="1" x14ac:dyDescent="0.35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1.25" customHeight="1" x14ac:dyDescent="0.35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1.25" customHeight="1" x14ac:dyDescent="0.35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1.25" customHeight="1" x14ac:dyDescent="0.35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1.25" customHeight="1" x14ac:dyDescent="0.35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1.25" customHeight="1" x14ac:dyDescent="0.35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1.25" customHeight="1" x14ac:dyDescent="0.35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1.25" customHeight="1" x14ac:dyDescent="0.35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1.25" customHeight="1" x14ac:dyDescent="0.35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1.25" customHeight="1" x14ac:dyDescent="0.35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1.25" customHeight="1" x14ac:dyDescent="0.35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1.25" customHeight="1" x14ac:dyDescent="0.35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1.25" customHeight="1" x14ac:dyDescent="0.35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1.25" customHeight="1" x14ac:dyDescent="0.35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1.25" customHeight="1" x14ac:dyDescent="0.35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1.25" customHeight="1" x14ac:dyDescent="0.35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1.25" customHeight="1" x14ac:dyDescent="0.35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1.25" customHeight="1" x14ac:dyDescent="0.35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1.25" customHeight="1" x14ac:dyDescent="0.35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1.25" customHeight="1" x14ac:dyDescent="0.35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1.25" customHeight="1" x14ac:dyDescent="0.35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1.25" customHeight="1" x14ac:dyDescent="0.35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1.25" customHeight="1" x14ac:dyDescent="0.35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1.25" customHeight="1" x14ac:dyDescent="0.35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1.25" customHeight="1" x14ac:dyDescent="0.35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1.25" customHeight="1" x14ac:dyDescent="0.35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1.25" customHeight="1" x14ac:dyDescent="0.35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1.25" customHeight="1" x14ac:dyDescent="0.35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1.25" customHeight="1" x14ac:dyDescent="0.35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1.25" customHeight="1" x14ac:dyDescent="0.35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1.25" customHeight="1" x14ac:dyDescent="0.35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1.25" customHeight="1" x14ac:dyDescent="0.35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1.25" customHeight="1" x14ac:dyDescent="0.35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1.25" customHeight="1" x14ac:dyDescent="0.35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1.25" customHeight="1" x14ac:dyDescent="0.35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1.25" customHeight="1" x14ac:dyDescent="0.35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1.25" customHeight="1" x14ac:dyDescent="0.35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1.25" customHeight="1" x14ac:dyDescent="0.35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1.25" customHeight="1" x14ac:dyDescent="0.35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1.25" customHeight="1" x14ac:dyDescent="0.35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1.25" customHeight="1" x14ac:dyDescent="0.35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1.25" customHeight="1" x14ac:dyDescent="0.35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1.25" customHeight="1" x14ac:dyDescent="0.35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1.25" customHeight="1" x14ac:dyDescent="0.35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1.25" customHeight="1" x14ac:dyDescent="0.35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1.25" customHeight="1" x14ac:dyDescent="0.35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1.25" customHeight="1" x14ac:dyDescent="0.35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1.25" customHeight="1" x14ac:dyDescent="0.35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1.25" customHeight="1" x14ac:dyDescent="0.35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1.25" customHeight="1" x14ac:dyDescent="0.35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1.25" customHeight="1" x14ac:dyDescent="0.35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1.25" customHeight="1" x14ac:dyDescent="0.35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1.25" customHeight="1" x14ac:dyDescent="0.35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1.25" customHeight="1" x14ac:dyDescent="0.35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1.25" customHeight="1" x14ac:dyDescent="0.35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1.25" customHeight="1" x14ac:dyDescent="0.35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1.25" customHeight="1" x14ac:dyDescent="0.35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1.25" customHeight="1" x14ac:dyDescent="0.35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1.25" customHeight="1" x14ac:dyDescent="0.35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1.25" customHeight="1" x14ac:dyDescent="0.35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1.25" customHeight="1" x14ac:dyDescent="0.35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1.25" customHeight="1" x14ac:dyDescent="0.35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1.25" customHeight="1" x14ac:dyDescent="0.35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1.25" customHeight="1" x14ac:dyDescent="0.35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1.25" customHeight="1" x14ac:dyDescent="0.35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1.25" customHeight="1" x14ac:dyDescent="0.35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1.25" customHeight="1" x14ac:dyDescent="0.35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1.25" customHeight="1" x14ac:dyDescent="0.35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1.25" customHeight="1" x14ac:dyDescent="0.35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1.25" customHeight="1" x14ac:dyDescent="0.35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1.25" customHeight="1" x14ac:dyDescent="0.35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1.25" customHeight="1" x14ac:dyDescent="0.35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1.25" customHeight="1" x14ac:dyDescent="0.35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1.25" customHeight="1" x14ac:dyDescent="0.35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1.25" customHeight="1" x14ac:dyDescent="0.35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1.25" customHeight="1" x14ac:dyDescent="0.35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1.25" customHeight="1" x14ac:dyDescent="0.35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1.25" customHeight="1" x14ac:dyDescent="0.35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1.25" customHeight="1" x14ac:dyDescent="0.35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1.25" customHeight="1" x14ac:dyDescent="0.35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1.25" customHeight="1" x14ac:dyDescent="0.35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1.25" customHeight="1" x14ac:dyDescent="0.35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1.25" customHeight="1" x14ac:dyDescent="0.35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1.25" customHeight="1" x14ac:dyDescent="0.35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1.25" customHeight="1" x14ac:dyDescent="0.35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1.25" customHeight="1" x14ac:dyDescent="0.35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1.25" customHeight="1" x14ac:dyDescent="0.35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1.25" customHeight="1" x14ac:dyDescent="0.35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1.25" customHeight="1" x14ac:dyDescent="0.35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1.25" customHeight="1" x14ac:dyDescent="0.35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1.25" customHeight="1" x14ac:dyDescent="0.35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1.25" customHeight="1" x14ac:dyDescent="0.35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1.25" customHeight="1" x14ac:dyDescent="0.35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1.25" customHeight="1" x14ac:dyDescent="0.35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1.25" customHeight="1" x14ac:dyDescent="0.35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1.25" customHeight="1" x14ac:dyDescent="0.35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1.25" customHeight="1" x14ac:dyDescent="0.35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1.25" customHeight="1" x14ac:dyDescent="0.35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1.25" customHeight="1" x14ac:dyDescent="0.35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1.25" customHeight="1" x14ac:dyDescent="0.35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1.25" customHeight="1" x14ac:dyDescent="0.35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1.25" customHeight="1" x14ac:dyDescent="0.35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1.25" customHeight="1" x14ac:dyDescent="0.35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1.25" customHeight="1" x14ac:dyDescent="0.35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1.25" customHeight="1" x14ac:dyDescent="0.35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1.25" customHeight="1" x14ac:dyDescent="0.35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1.25" customHeight="1" x14ac:dyDescent="0.35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1.25" customHeight="1" x14ac:dyDescent="0.35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1.25" customHeight="1" x14ac:dyDescent="0.35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1.25" customHeight="1" x14ac:dyDescent="0.35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1.25" customHeight="1" x14ac:dyDescent="0.35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1.25" customHeight="1" x14ac:dyDescent="0.35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1.25" customHeight="1" x14ac:dyDescent="0.35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1.25" customHeight="1" x14ac:dyDescent="0.35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1.25" customHeight="1" x14ac:dyDescent="0.35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1.25" customHeight="1" x14ac:dyDescent="0.35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1.25" customHeight="1" x14ac:dyDescent="0.35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1.25" customHeight="1" x14ac:dyDescent="0.35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1.25" customHeight="1" x14ac:dyDescent="0.35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1.25" customHeight="1" x14ac:dyDescent="0.35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1.25" customHeight="1" x14ac:dyDescent="0.35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1.25" customHeight="1" x14ac:dyDescent="0.35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1.25" customHeight="1" x14ac:dyDescent="0.35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1.25" customHeight="1" x14ac:dyDescent="0.35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1.25" customHeight="1" x14ac:dyDescent="0.35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1.25" customHeight="1" x14ac:dyDescent="0.35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1.25" customHeight="1" x14ac:dyDescent="0.35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1.25" customHeight="1" x14ac:dyDescent="0.35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1.25" customHeight="1" x14ac:dyDescent="0.35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1.25" customHeight="1" x14ac:dyDescent="0.35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1.25" customHeight="1" x14ac:dyDescent="0.35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1.25" customHeight="1" x14ac:dyDescent="0.35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1.25" customHeight="1" x14ac:dyDescent="0.35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1.25" customHeight="1" x14ac:dyDescent="0.35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1.25" customHeight="1" x14ac:dyDescent="0.35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1.25" customHeight="1" x14ac:dyDescent="0.35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1.25" customHeight="1" x14ac:dyDescent="0.35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1.25" customHeight="1" x14ac:dyDescent="0.35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1.25" customHeight="1" x14ac:dyDescent="0.35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1.25" customHeight="1" x14ac:dyDescent="0.35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1.25" customHeight="1" x14ac:dyDescent="0.35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1.25" customHeight="1" x14ac:dyDescent="0.35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1.25" customHeight="1" x14ac:dyDescent="0.35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1.25" customHeight="1" x14ac:dyDescent="0.35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1.25" customHeight="1" x14ac:dyDescent="0.35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1.25" customHeight="1" x14ac:dyDescent="0.35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1.25" customHeight="1" x14ac:dyDescent="0.35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1.25" customHeight="1" x14ac:dyDescent="0.35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1.25" customHeight="1" x14ac:dyDescent="0.35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1.25" customHeight="1" x14ac:dyDescent="0.35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1.25" customHeight="1" x14ac:dyDescent="0.35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1.25" customHeight="1" x14ac:dyDescent="0.35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1.25" customHeight="1" x14ac:dyDescent="0.35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1.25" customHeight="1" x14ac:dyDescent="0.35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1.25" customHeight="1" x14ac:dyDescent="0.35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1.25" customHeight="1" x14ac:dyDescent="0.35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1.25" customHeight="1" x14ac:dyDescent="0.35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1.25" customHeight="1" x14ac:dyDescent="0.35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1.25" customHeight="1" x14ac:dyDescent="0.35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1.25" customHeight="1" x14ac:dyDescent="0.35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1.25" customHeight="1" x14ac:dyDescent="0.35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1.25" customHeight="1" x14ac:dyDescent="0.35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1.25" customHeight="1" x14ac:dyDescent="0.35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1.25" customHeight="1" x14ac:dyDescent="0.35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1.25" customHeight="1" x14ac:dyDescent="0.35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1.25" customHeight="1" x14ac:dyDescent="0.35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1.25" customHeight="1" x14ac:dyDescent="0.35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1.25" customHeight="1" x14ac:dyDescent="0.35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1.25" customHeight="1" x14ac:dyDescent="0.35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1.25" customHeight="1" x14ac:dyDescent="0.35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1.25" customHeight="1" x14ac:dyDescent="0.35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1.25" customHeight="1" x14ac:dyDescent="0.35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1.25" customHeight="1" x14ac:dyDescent="0.35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1.25" customHeight="1" x14ac:dyDescent="0.35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1.25" customHeight="1" x14ac:dyDescent="0.35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1.25" customHeight="1" x14ac:dyDescent="0.35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1.25" customHeight="1" x14ac:dyDescent="0.35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1.25" customHeight="1" x14ac:dyDescent="0.35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1.25" customHeight="1" x14ac:dyDescent="0.35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1.25" customHeight="1" x14ac:dyDescent="0.35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1.25" customHeight="1" x14ac:dyDescent="0.35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1.25" customHeight="1" x14ac:dyDescent="0.35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1.25" customHeight="1" x14ac:dyDescent="0.35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1.25" customHeight="1" x14ac:dyDescent="0.35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1.25" customHeight="1" x14ac:dyDescent="0.35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1.25" customHeight="1" x14ac:dyDescent="0.35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1.25" customHeight="1" x14ac:dyDescent="0.35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1.25" customHeight="1" x14ac:dyDescent="0.35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1.25" customHeight="1" x14ac:dyDescent="0.35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1.25" customHeight="1" x14ac:dyDescent="0.35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1.25" customHeight="1" x14ac:dyDescent="0.35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1.25" customHeight="1" x14ac:dyDescent="0.35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1.25" customHeight="1" x14ac:dyDescent="0.35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1.25" customHeight="1" x14ac:dyDescent="0.35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1.25" customHeight="1" x14ac:dyDescent="0.35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1.25" customHeight="1" x14ac:dyDescent="0.35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1.25" customHeight="1" x14ac:dyDescent="0.35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1.25" customHeight="1" x14ac:dyDescent="0.35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1.25" customHeight="1" x14ac:dyDescent="0.35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1.25" customHeight="1" x14ac:dyDescent="0.35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1.25" customHeight="1" x14ac:dyDescent="0.35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1.25" customHeight="1" x14ac:dyDescent="0.35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1.25" customHeight="1" x14ac:dyDescent="0.35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1.25" customHeight="1" x14ac:dyDescent="0.35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1.25" customHeight="1" x14ac:dyDescent="0.35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1.25" customHeight="1" x14ac:dyDescent="0.35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1.25" customHeight="1" x14ac:dyDescent="0.35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1.25" customHeight="1" x14ac:dyDescent="0.35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1.25" customHeight="1" x14ac:dyDescent="0.35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1.25" customHeight="1" x14ac:dyDescent="0.35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1.25" customHeight="1" x14ac:dyDescent="0.35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1.25" customHeight="1" x14ac:dyDescent="0.35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1.25" customHeight="1" x14ac:dyDescent="0.35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1.25" customHeight="1" x14ac:dyDescent="0.35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1.25" customHeight="1" x14ac:dyDescent="0.35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1.25" customHeight="1" x14ac:dyDescent="0.35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1.25" customHeight="1" x14ac:dyDescent="0.35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1.25" customHeight="1" x14ac:dyDescent="0.35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1.25" customHeight="1" x14ac:dyDescent="0.35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1.25" customHeight="1" x14ac:dyDescent="0.35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1.25" customHeight="1" x14ac:dyDescent="0.35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1.25" customHeight="1" x14ac:dyDescent="0.35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1.25" customHeight="1" x14ac:dyDescent="0.35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1.25" customHeight="1" x14ac:dyDescent="0.35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1.25" customHeight="1" x14ac:dyDescent="0.35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1.25" customHeight="1" x14ac:dyDescent="0.35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1.25" customHeight="1" x14ac:dyDescent="0.35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1.25" customHeight="1" x14ac:dyDescent="0.35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1.25" customHeight="1" x14ac:dyDescent="0.35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1.25" customHeight="1" x14ac:dyDescent="0.35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1.25" customHeight="1" x14ac:dyDescent="0.35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1.25" customHeight="1" x14ac:dyDescent="0.35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1.25" customHeight="1" x14ac:dyDescent="0.35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1.25" customHeight="1" x14ac:dyDescent="0.35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1.25" customHeight="1" x14ac:dyDescent="0.35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1.25" customHeight="1" x14ac:dyDescent="0.35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1.25" customHeight="1" x14ac:dyDescent="0.35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1.25" customHeight="1" x14ac:dyDescent="0.35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1.25" customHeight="1" x14ac:dyDescent="0.35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1.25" customHeight="1" x14ac:dyDescent="0.35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1.25" customHeight="1" x14ac:dyDescent="0.35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1.25" customHeight="1" x14ac:dyDescent="0.35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1.25" customHeight="1" x14ac:dyDescent="0.35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1.25" customHeight="1" x14ac:dyDescent="0.35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1.25" customHeight="1" x14ac:dyDescent="0.35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1.25" customHeight="1" x14ac:dyDescent="0.35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1.25" customHeight="1" x14ac:dyDescent="0.35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1.25" customHeight="1" x14ac:dyDescent="0.35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1.25" customHeight="1" x14ac:dyDescent="0.35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1.25" customHeight="1" x14ac:dyDescent="0.35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1.25" customHeight="1" x14ac:dyDescent="0.35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1.25" customHeight="1" x14ac:dyDescent="0.35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1.25" customHeight="1" x14ac:dyDescent="0.35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1.25" customHeight="1" x14ac:dyDescent="0.35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1.25" customHeight="1" x14ac:dyDescent="0.35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1.25" customHeight="1" x14ac:dyDescent="0.35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1.25" customHeight="1" x14ac:dyDescent="0.35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P&amp;L source</vt:lpstr>
      <vt:lpstr>BS source</vt:lpstr>
      <vt:lpstr>P&amp;L assumptions</vt:lpstr>
      <vt:lpstr>BS assumptions</vt:lpstr>
      <vt:lpstr>P&amp;L</vt:lpstr>
      <vt:lpstr>BS</vt:lpstr>
      <vt:lpstr>Cash 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BANTHIA</dc:creator>
  <cp:lastModifiedBy>srikanth potharla</cp:lastModifiedBy>
  <dcterms:created xsi:type="dcterms:W3CDTF">2006-09-16T00:00:00Z</dcterms:created>
  <dcterms:modified xsi:type="dcterms:W3CDTF">2025-10-30T14:08:07Z</dcterms:modified>
</cp:coreProperties>
</file>